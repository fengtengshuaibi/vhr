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fen\Desktop\"/>
    </mc:Choice>
  </mc:AlternateContent>
  <xr:revisionPtr revIDLastSave="0" documentId="13_ncr:40009_{D91773C6-1AC5-47FC-96EC-E98CFD4DBAA1}" xr6:coauthVersionLast="47" xr6:coauthVersionMax="47" xr10:uidLastSave="{00000000-0000-0000-0000-000000000000}"/>
  <bookViews>
    <workbookView xWindow="-108" yWindow="-108" windowWidth="23256" windowHeight="13896"/>
  </bookViews>
  <sheets>
    <sheet name="员工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5" i="1" l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<sst xmlns="http://schemas.openxmlformats.org/spreadsheetml/2006/main" count="1145" uniqueCount="599">
  <si>
    <t>姓名(必填, max 10)</t>
  </si>
  <si>
    <t>性别(必填, max 4)</t>
  </si>
  <si>
    <t>部门(必填, 系统值)</t>
  </si>
  <si>
    <t>职位(必填, 系统值)</t>
  </si>
  <si>
    <t>出生日期(yyyy-MM-dd)</t>
  </si>
  <si>
    <t>民族(必填, 系统值)</t>
  </si>
  <si>
    <t>身份证号(必填, max 18)</t>
  </si>
  <si>
    <t>身份证开始日期</t>
  </si>
  <si>
    <t>身份证终止日期</t>
  </si>
  <si>
    <t>入职日期(必填)</t>
  </si>
  <si>
    <t>试用期(月)</t>
  </si>
  <si>
    <t>转正日期</t>
  </si>
  <si>
    <t>转正评分</t>
  </si>
  <si>
    <t>司龄(数字)</t>
  </si>
  <si>
    <t>工作地点(max 255)</t>
  </si>
  <si>
    <t>政治面貌(必填, 系统值)</t>
  </si>
  <si>
    <t>户口类别(max 32)</t>
  </si>
  <si>
    <t>户口所在地(max 255)</t>
  </si>
  <si>
    <t>现居住地址(max 64)</t>
  </si>
  <si>
    <t>电子邮箱(max 50)</t>
  </si>
  <si>
    <t>联系方式(max 11)</t>
  </si>
  <si>
    <t>紧急联系人(max 32)</t>
  </si>
  <si>
    <t>紧急联系电话(max 32)</t>
  </si>
  <si>
    <t>婚姻状况(已婚/未婚/离异)</t>
  </si>
  <si>
    <t>生育状况(max 32)</t>
  </si>
  <si>
    <t>子女信息(max 255)</t>
  </si>
  <si>
    <t>学历(本科/大专/硕士/博士/高中/初中/小学/其他)</t>
  </si>
  <si>
    <t>毕业时间</t>
  </si>
  <si>
    <t>毕业院校(max 32)</t>
  </si>
  <si>
    <t>专业(max 32)</t>
  </si>
  <si>
    <t>职称/资格证书(max 255)</t>
  </si>
  <si>
    <t>培训经历</t>
  </si>
  <si>
    <t>原工作单位(max 255)</t>
  </si>
  <si>
    <t>原职务(max 255)</t>
  </si>
  <si>
    <t>入职/离职时间(max 64)</t>
  </si>
  <si>
    <t>过往工作业绩</t>
  </si>
  <si>
    <t>原单位离职原因(max 255)</t>
  </si>
  <si>
    <t>证明人(max 32)</t>
  </si>
  <si>
    <t>证明人电话(max 32)</t>
  </si>
  <si>
    <t>入职前测评结果(max 255)</t>
  </si>
  <si>
    <t>工作状态(在职/离职)</t>
  </si>
  <si>
    <t>奖惩记录</t>
  </si>
  <si>
    <t>离职日期</t>
  </si>
  <si>
    <t>离职原因(max 255)</t>
  </si>
  <si>
    <t>高辉</t>
  </si>
  <si>
    <t>刘伟</t>
  </si>
  <si>
    <t>安毅</t>
    <phoneticPr fontId="3" type="noConversion"/>
  </si>
  <si>
    <t>刘伟娜</t>
    <phoneticPr fontId="3" type="noConversion"/>
  </si>
  <si>
    <t>李联欢</t>
  </si>
  <si>
    <t>王丽娜</t>
  </si>
  <si>
    <t>刘梦曦</t>
    <phoneticPr fontId="1" type="noConversion"/>
  </si>
  <si>
    <t>白靖</t>
    <phoneticPr fontId="1" type="noConversion"/>
  </si>
  <si>
    <t>刘红莲</t>
  </si>
  <si>
    <t>王雅晶</t>
    <phoneticPr fontId="3" type="noConversion"/>
  </si>
  <si>
    <t>刘小南</t>
  </si>
  <si>
    <t>刘艳</t>
    <phoneticPr fontId="1" type="noConversion"/>
  </si>
  <si>
    <t>董文文</t>
    <phoneticPr fontId="1" type="noConversion"/>
  </si>
  <si>
    <t>段沣涵</t>
    <phoneticPr fontId="3" type="noConversion"/>
  </si>
  <si>
    <t>徐菲菲</t>
  </si>
  <si>
    <t>王旭</t>
  </si>
  <si>
    <t>石鑫</t>
    <phoneticPr fontId="3" type="noConversion"/>
  </si>
  <si>
    <t>张惠</t>
  </si>
  <si>
    <t>程新玲</t>
  </si>
  <si>
    <t>冯淑娟</t>
    <phoneticPr fontId="1" type="noConversion"/>
  </si>
  <si>
    <t>郭志强</t>
    <phoneticPr fontId="3" type="noConversion"/>
  </si>
  <si>
    <t>魏志浩</t>
    <phoneticPr fontId="3" type="noConversion"/>
  </si>
  <si>
    <t>熊国泽</t>
    <phoneticPr fontId="1" type="noConversion"/>
  </si>
  <si>
    <t>杨玲</t>
    <phoneticPr fontId="3" type="noConversion"/>
  </si>
  <si>
    <t>郝茗</t>
  </si>
  <si>
    <t>祝梦瑶</t>
    <phoneticPr fontId="1" type="noConversion"/>
  </si>
  <si>
    <t>李青虹</t>
    <phoneticPr fontId="1" type="noConversion"/>
  </si>
  <si>
    <t>窦晓晔</t>
    <phoneticPr fontId="1" type="noConversion"/>
  </si>
  <si>
    <t>褚建新</t>
    <phoneticPr fontId="3" type="noConversion"/>
  </si>
  <si>
    <t>张辉</t>
    <phoneticPr fontId="3" type="noConversion"/>
  </si>
  <si>
    <t>肖韦</t>
    <phoneticPr fontId="1" type="noConversion"/>
  </si>
  <si>
    <t>李然</t>
    <phoneticPr fontId="1" type="noConversion"/>
  </si>
  <si>
    <t>杨爽</t>
    <phoneticPr fontId="1" type="noConversion"/>
  </si>
  <si>
    <t>王帅</t>
  </si>
  <si>
    <t>武培培</t>
  </si>
  <si>
    <t>田净</t>
    <phoneticPr fontId="1" type="noConversion"/>
  </si>
  <si>
    <t>罗卓佳</t>
    <phoneticPr fontId="1" type="noConversion"/>
  </si>
  <si>
    <t>王虹</t>
    <phoneticPr fontId="1" type="noConversion"/>
  </si>
  <si>
    <t>迟姝雯</t>
    <phoneticPr fontId="3" type="noConversion"/>
  </si>
  <si>
    <t>付海岩</t>
    <phoneticPr fontId="3" type="noConversion"/>
  </si>
  <si>
    <t>许颖</t>
  </si>
  <si>
    <t>蔡朝</t>
    <phoneticPr fontId="1" type="noConversion"/>
  </si>
  <si>
    <t>耿伟娜</t>
    <phoneticPr fontId="1" type="noConversion"/>
  </si>
  <si>
    <t>任育旻</t>
    <phoneticPr fontId="3" type="noConversion"/>
  </si>
  <si>
    <t>徐丹</t>
    <phoneticPr fontId="3" type="noConversion"/>
  </si>
  <si>
    <t>张雨薇</t>
    <phoneticPr fontId="1" type="noConversion"/>
  </si>
  <si>
    <t>谢杨芳</t>
    <phoneticPr fontId="1" type="noConversion"/>
  </si>
  <si>
    <t>陈其毓</t>
    <phoneticPr fontId="1" type="noConversion"/>
  </si>
  <si>
    <t>刘晓红</t>
  </si>
  <si>
    <t>李旺</t>
    <phoneticPr fontId="3" type="noConversion"/>
  </si>
  <si>
    <t>薛珍妮</t>
    <phoneticPr fontId="1" type="noConversion"/>
  </si>
  <si>
    <t>肖倩倩</t>
    <phoneticPr fontId="1" type="noConversion"/>
  </si>
  <si>
    <t>徐世佳</t>
  </si>
  <si>
    <t>倪润鑫</t>
    <phoneticPr fontId="1" type="noConversion"/>
  </si>
  <si>
    <t>周喆林</t>
    <phoneticPr fontId="3" type="noConversion"/>
  </si>
  <si>
    <t>杨伟</t>
    <phoneticPr fontId="1" type="noConversion"/>
  </si>
  <si>
    <t>王冬辰</t>
    <phoneticPr fontId="3" type="noConversion"/>
  </si>
  <si>
    <t>胡茜</t>
    <phoneticPr fontId="1" type="noConversion"/>
  </si>
  <si>
    <t>宋朋涛</t>
  </si>
  <si>
    <t>王龙天</t>
    <phoneticPr fontId="3" type="noConversion"/>
  </si>
  <si>
    <t>陈猛</t>
    <phoneticPr fontId="1" type="noConversion"/>
  </si>
  <si>
    <t>郁磊</t>
    <phoneticPr fontId="1" type="noConversion"/>
  </si>
  <si>
    <t>陈力</t>
    <phoneticPr fontId="1" type="noConversion"/>
  </si>
  <si>
    <t>王贝聿</t>
    <phoneticPr fontId="1" type="noConversion"/>
  </si>
  <si>
    <t>男</t>
  </si>
  <si>
    <t>女</t>
  </si>
  <si>
    <t>总裁办</t>
    <phoneticPr fontId="1" type="noConversion"/>
  </si>
  <si>
    <r>
      <rPr>
        <sz val="10"/>
        <rFont val="宋体"/>
        <family val="3"/>
        <charset val="134"/>
      </rPr>
      <t>董事长</t>
    </r>
    <r>
      <rPr>
        <sz val="10"/>
        <rFont val="Arial"/>
      </rPr>
      <t>/</t>
    </r>
    <r>
      <rPr>
        <sz val="10"/>
        <rFont val="宋体"/>
        <family val="3"/>
        <charset val="134"/>
      </rPr>
      <t>总裁</t>
    </r>
    <phoneticPr fontId="1" type="noConversion"/>
  </si>
  <si>
    <t>汉族</t>
    <phoneticPr fontId="1" type="noConversion"/>
  </si>
  <si>
    <t>120101198110251536</t>
    <phoneticPr fontId="3" type="noConversion"/>
  </si>
  <si>
    <t>231026198212242735</t>
    <phoneticPr fontId="3" type="noConversion"/>
  </si>
  <si>
    <t>120102199307052611</t>
    <phoneticPr fontId="3" type="noConversion"/>
  </si>
  <si>
    <t>130130198310271527</t>
    <phoneticPr fontId="3" type="noConversion"/>
  </si>
  <si>
    <t>130102198112020641</t>
    <phoneticPr fontId="3" type="noConversion"/>
  </si>
  <si>
    <t>130826199001011244</t>
    <phoneticPr fontId="3" type="noConversion"/>
  </si>
  <si>
    <t>110103198804261828</t>
    <phoneticPr fontId="1" type="noConversion"/>
  </si>
  <si>
    <t>140928200101010025</t>
    <phoneticPr fontId="1" type="noConversion"/>
  </si>
  <si>
    <t>130682198107050343</t>
  </si>
  <si>
    <t>120102198512020665</t>
    <phoneticPr fontId="3" type="noConversion"/>
  </si>
  <si>
    <t>130281199008113720</t>
    <phoneticPr fontId="3" type="noConversion"/>
  </si>
  <si>
    <t>130729200003101920</t>
    <phoneticPr fontId="1" type="noConversion"/>
  </si>
  <si>
    <t>412727199508278423</t>
    <phoneticPr fontId="1" type="noConversion"/>
  </si>
  <si>
    <t>130923200009303411</t>
    <phoneticPr fontId="3" type="noConversion"/>
  </si>
  <si>
    <t>120104198703033242</t>
  </si>
  <si>
    <t>131128200101261241</t>
  </si>
  <si>
    <t>120103199101124524</t>
    <phoneticPr fontId="3" type="noConversion"/>
  </si>
  <si>
    <t>130103198312211828</t>
  </si>
  <si>
    <t>410802198906300069</t>
  </si>
  <si>
    <t>330781198412260044</t>
    <phoneticPr fontId="1" type="noConversion"/>
  </si>
  <si>
    <t>140212199311293938</t>
    <phoneticPr fontId="1" type="noConversion"/>
  </si>
  <si>
    <t>142733199801223917</t>
    <phoneticPr fontId="3" type="noConversion"/>
  </si>
  <si>
    <t>513701199202066613</t>
    <phoneticPr fontId="1" type="noConversion"/>
  </si>
  <si>
    <t>510922198508023806</t>
    <phoneticPr fontId="3" type="noConversion"/>
  </si>
  <si>
    <t>110102198902250026</t>
  </si>
  <si>
    <t>131182199701271227</t>
    <phoneticPr fontId="1" type="noConversion"/>
  </si>
  <si>
    <t>120101197901202082</t>
    <phoneticPr fontId="3" type="noConversion"/>
  </si>
  <si>
    <t>110105198206249469</t>
    <phoneticPr fontId="1" type="noConversion"/>
  </si>
  <si>
    <t>110227198312146424</t>
    <phoneticPr fontId="3" type="noConversion"/>
  </si>
  <si>
    <t>110227198607211529</t>
    <phoneticPr fontId="3" type="noConversion"/>
  </si>
  <si>
    <t>110111198305131834</t>
    <phoneticPr fontId="1" type="noConversion"/>
  </si>
  <si>
    <t>110226199709081129</t>
    <phoneticPr fontId="1" type="noConversion"/>
  </si>
  <si>
    <t>110105199006115348</t>
    <phoneticPr fontId="1" type="noConversion"/>
  </si>
  <si>
    <t>12010419890304152X</t>
    <phoneticPr fontId="1" type="noConversion"/>
  </si>
  <si>
    <t>120106198211126525</t>
  </si>
  <si>
    <t>120104197902283880</t>
  </si>
  <si>
    <t>120103199302182624</t>
  </si>
  <si>
    <t>120113198902170027</t>
  </si>
  <si>
    <t>120109198705071527</t>
    <phoneticPr fontId="3" type="noConversion"/>
  </si>
  <si>
    <t>130824199002260047</t>
  </si>
  <si>
    <t>130635198511264429</t>
  </si>
  <si>
    <t>130102198706091228</t>
  </si>
  <si>
    <t>130627199201160645</t>
  </si>
  <si>
    <t>130126199210100026</t>
    <phoneticPr fontId="3" type="noConversion"/>
  </si>
  <si>
    <t>130102198203072121</t>
    <phoneticPr fontId="3" type="noConversion"/>
  </si>
  <si>
    <t>13040319951224182X</t>
  </si>
  <si>
    <t>430481199303105450</t>
    <phoneticPr fontId="1" type="noConversion"/>
  </si>
  <si>
    <t>310115198802200418</t>
    <phoneticPr fontId="1" type="noConversion"/>
  </si>
  <si>
    <t>370785198309249325</t>
    <phoneticPr fontId="1" type="noConversion"/>
  </si>
  <si>
    <t>110223199009275679</t>
    <phoneticPr fontId="3" type="noConversion"/>
  </si>
  <si>
    <t>130725199611080827</t>
    <phoneticPr fontId="1" type="noConversion"/>
  </si>
  <si>
    <t>13013119861217004X</t>
  </si>
  <si>
    <t>130132200108101623</t>
  </si>
  <si>
    <t>110105198703303112</t>
    <phoneticPr fontId="1" type="noConversion"/>
  </si>
  <si>
    <t>120222199602064616</t>
    <phoneticPr fontId="3" type="noConversion"/>
  </si>
  <si>
    <t>130531198409180033</t>
    <phoneticPr fontId="1" type="noConversion"/>
  </si>
  <si>
    <t>131082199209291028</t>
    <phoneticPr fontId="3" type="noConversion"/>
  </si>
  <si>
    <t>420981200008265225</t>
    <phoneticPr fontId="1" type="noConversion"/>
  </si>
  <si>
    <t>130104198608231832</t>
  </si>
  <si>
    <t>130424200211231836</t>
    <phoneticPr fontId="3" type="noConversion"/>
  </si>
  <si>
    <t>210921199808205211</t>
    <phoneticPr fontId="1" type="noConversion"/>
  </si>
  <si>
    <t>310230199412112731</t>
    <phoneticPr fontId="3" type="noConversion"/>
  </si>
  <si>
    <t>310108198804033314</t>
    <phoneticPr fontId="1" type="noConversion"/>
  </si>
  <si>
    <t>310108199211142632</t>
    <phoneticPr fontId="1" type="noConversion"/>
  </si>
  <si>
    <t>.龄(数字)</t>
  </si>
  <si>
    <t>北京</t>
    <phoneticPr fontId="1" type="noConversion"/>
  </si>
  <si>
    <t>北京</t>
  </si>
  <si>
    <t>石家庄</t>
  </si>
  <si>
    <t>北京</t>
    <phoneticPr fontId="10" type="noConversion"/>
  </si>
  <si>
    <t>石家庄</t>
    <phoneticPr fontId="10" type="noConversion"/>
  </si>
  <si>
    <t>北京</t>
    <phoneticPr fontId="11" type="noConversion"/>
  </si>
  <si>
    <t>天津</t>
  </si>
  <si>
    <t>上海</t>
  </si>
  <si>
    <t>宁波</t>
    <phoneticPr fontId="11" type="noConversion"/>
  </si>
  <si>
    <t>石家庄</t>
    <phoneticPr fontId="1" type="noConversion"/>
  </si>
  <si>
    <t>深圳</t>
    <phoneticPr fontId="1" type="noConversion"/>
  </si>
  <si>
    <t>上海</t>
    <phoneticPr fontId="1" type="noConversion"/>
  </si>
  <si>
    <t>上海</t>
    <phoneticPr fontId="11" type="noConversion"/>
  </si>
  <si>
    <t>群众</t>
    <phoneticPr fontId="1" type="noConversion"/>
  </si>
  <si>
    <t>群众</t>
  </si>
  <si>
    <t>共青团员</t>
  </si>
  <si>
    <t>群众</t>
    <phoneticPr fontId="3" type="noConversion"/>
  </si>
  <si>
    <t>共青团员</t>
    <phoneticPr fontId="1" type="noConversion"/>
  </si>
  <si>
    <t>外埠城镇</t>
  </si>
  <si>
    <t>外埠城镇</t>
    <phoneticPr fontId="3" type="noConversion"/>
  </si>
  <si>
    <t>本市城镇</t>
    <phoneticPr fontId="3" type="noConversion"/>
  </si>
  <si>
    <t>外埠农村</t>
  </si>
  <si>
    <t>本市城镇</t>
  </si>
  <si>
    <t>外埠农业</t>
    <phoneticPr fontId="3" type="noConversion"/>
  </si>
  <si>
    <t>外埠城镇</t>
    <phoneticPr fontId="1" type="noConversion"/>
  </si>
  <si>
    <t>外埠农业</t>
    <phoneticPr fontId="1" type="noConversion"/>
  </si>
  <si>
    <t>外地城镇</t>
  </si>
  <si>
    <t>本市城镇</t>
    <phoneticPr fontId="1" type="noConversion"/>
  </si>
  <si>
    <t>外埠农业</t>
  </si>
  <si>
    <t>本市农业</t>
    <phoneticPr fontId="1" type="noConversion"/>
  </si>
  <si>
    <t>本埠农业</t>
  </si>
  <si>
    <t>外埠农村</t>
    <phoneticPr fontId="3" type="noConversion"/>
  </si>
  <si>
    <t>天津市南开区万德庄大街龙德里1号楼3门503号</t>
    <phoneticPr fontId="11" type="noConversion"/>
  </si>
  <si>
    <t>吉林省四平市铁东区解放街光辉委六组</t>
  </si>
  <si>
    <t>天津市河东区大直沽中路9号内1号楼5门202号</t>
    <phoneticPr fontId="10" type="noConversion"/>
  </si>
  <si>
    <t>河北省石家庄市裕华区湘江道150号7栋2单元501号</t>
  </si>
  <si>
    <t>河北省石家庄市槐底派出所</t>
  </si>
  <si>
    <t>河北省承德市丰宁满族自治县大滩镇大下营村2组48号</t>
  </si>
  <si>
    <t>北京市朝阳区黄厂南里1号院10号楼1单元2001号</t>
    <phoneticPr fontId="1" type="noConversion"/>
  </si>
  <si>
    <t>山西省五寨县前所乡南坪村南巷17号</t>
    <phoneticPr fontId="1" type="noConversion"/>
  </si>
  <si>
    <t>石家庄市长安区</t>
  </si>
  <si>
    <t>天津市河东区卫国道2号内13栋506号</t>
    <phoneticPr fontId="10" type="noConversion"/>
  </si>
  <si>
    <t>河北省遵化适当玉珍上马家峪村西寺沟14排4号</t>
  </si>
  <si>
    <t>河北省张家口市万全区北新屯乡刘虎庄村小南坪1巷7号</t>
    <phoneticPr fontId="1" type="noConversion"/>
  </si>
  <si>
    <t>河南省淮阳县城关回族镇团结行政村孙庄三组020号</t>
    <phoneticPr fontId="1" type="noConversion"/>
  </si>
  <si>
    <t>北京市海淀区田村路40号院平房6栋9号</t>
    <phoneticPr fontId="10" type="noConversion"/>
  </si>
  <si>
    <t>天津市西青区东姜井德雅佳园4-102</t>
  </si>
  <si>
    <t>河北省衡水市阜城县古城镇王台庄村17号</t>
  </si>
  <si>
    <t>天津市河西区尖山路光明里26门301号</t>
    <phoneticPr fontId="10" type="noConversion"/>
  </si>
  <si>
    <t>石家庄市桥东区平安南大街105号29栋1单元402号</t>
  </si>
  <si>
    <t>河南省焦作市解放区卫校西街2号院</t>
    <phoneticPr fontId="11" type="noConversion"/>
  </si>
  <si>
    <t>浙江省宁波市鄞州区下应街道万科桂语里20幢1302室</t>
    <phoneticPr fontId="1" type="noConversion"/>
  </si>
  <si>
    <t>山西省大同市新荣区花园屯乡前井村238号2户</t>
  </si>
  <si>
    <t>山西省垣曲县英言乡席家坪村沙河组051号</t>
    <phoneticPr fontId="11" type="noConversion"/>
  </si>
  <si>
    <t>四川省巴中市恩阳区上八庙镇双山子村341号</t>
    <phoneticPr fontId="1" type="noConversion"/>
  </si>
  <si>
    <t>四川省成都市武侯区致民路34号1栋1单元1406号</t>
    <phoneticPr fontId="10" type="noConversion"/>
  </si>
  <si>
    <t>北京市西城区西便门外大街西里新10楼5门102号</t>
  </si>
  <si>
    <t>河北省深州市北溪村乡东留曹村20号</t>
    <phoneticPr fontId="1" type="noConversion"/>
  </si>
  <si>
    <t>天津市河东区晨光道晨光楼16号楼401</t>
  </si>
  <si>
    <t>北京市朝阳区西坝河东里83楼1103号</t>
    <phoneticPr fontId="1" type="noConversion"/>
  </si>
  <si>
    <t>北京市怀柔区慕田峪办事处慕田峪村47号</t>
  </si>
  <si>
    <t>北京市怀柔区庙城镇高两河村392号1门</t>
    <phoneticPr fontId="10" type="noConversion"/>
  </si>
  <si>
    <t>北京市房山区良乡镇鸿顺园小区10号楼6单元101号</t>
    <phoneticPr fontId="1" type="noConversion"/>
  </si>
  <si>
    <t>北京市平谷区东高村镇赵家务大街南98号</t>
    <phoneticPr fontId="1" type="noConversion"/>
  </si>
  <si>
    <t>北京市朝阳区武圣东里49楼1104号</t>
    <phoneticPr fontId="1" type="noConversion"/>
  </si>
  <si>
    <t>天津市南开区广开四马路瑞德里</t>
  </si>
  <si>
    <t>天津市河西区宾水道育贤里21-58-204</t>
  </si>
  <si>
    <t>天津市南开区西湖道西湖里10-2-101</t>
  </si>
  <si>
    <t>天津市河西区紫金山西路宾水东里45门409号</t>
  </si>
  <si>
    <t>天津市北辰区果园新村街东升里7号楼4门308号</t>
  </si>
  <si>
    <t>天津市南开区三元村大街雅环里1号楼1门102号</t>
    <phoneticPr fontId="10" type="noConversion"/>
  </si>
  <si>
    <t>河北省石家庄市裕华区</t>
  </si>
  <si>
    <t>河北省石家庄市裕华区塔南路169号</t>
  </si>
  <si>
    <t>河北省石家庄市长安区广安大街29号51栋平房5号</t>
  </si>
  <si>
    <t>河北省保定市唐县王京所王京镇拔茄村</t>
  </si>
  <si>
    <t>河北省石家庄市灵寿县城关派出所灵寿镇南合村正中街西3排2号</t>
  </si>
  <si>
    <t>河北省石家庄市新华区中华北大街186号中华绿园18栋1单元101号</t>
  </si>
  <si>
    <t>河北省石家庄市长安区翟营南大街9号1栋1单元913号</t>
  </si>
  <si>
    <t>湖南省来阳市仁义乡湾头村5组</t>
    <phoneticPr fontId="1" type="noConversion"/>
  </si>
  <si>
    <t>上海市浦东新区张江镇川北公路3078号403室</t>
    <phoneticPr fontId="1" type="noConversion"/>
  </si>
  <si>
    <t>山东省潍坊市高密市密水街道姜家屯村77号</t>
    <phoneticPr fontId="11" type="noConversion"/>
  </si>
  <si>
    <t>北京市通州区潞城镇大东各庄村7号</t>
    <phoneticPr fontId="10" type="noConversion"/>
  </si>
  <si>
    <t>河北省张家口市尚义县大青沟镇魏家村自然村228号</t>
    <phoneticPr fontId="1" type="noConversion"/>
  </si>
  <si>
    <t>河北省石家庄市新华区北合街48号9栋2单元303号</t>
  </si>
  <si>
    <t>河北省石家庄市元氏县南因派出所南因镇褚固村光明路107号</t>
  </si>
  <si>
    <t>北京市朝阳区小红门乡小红门273号</t>
    <phoneticPr fontId="1" type="noConversion"/>
  </si>
  <si>
    <t>北京市丰台区蒲黄榆一里6楼北门6号</t>
    <phoneticPr fontId="10" type="noConversion"/>
  </si>
  <si>
    <t>河北省邢台市广宗县广宗镇兴广路67号</t>
    <phoneticPr fontId="1" type="noConversion"/>
  </si>
  <si>
    <t>河北省三河市皇庄镇一村46号</t>
    <phoneticPr fontId="10" type="noConversion"/>
  </si>
  <si>
    <t>武汉市新洲区阳逻街汉施路武生院1号</t>
    <phoneticPr fontId="1" type="noConversion"/>
  </si>
  <si>
    <t>广东省珠海市斗门区井岸镇新堂路6号2栋4单元201房（珠海市恒涛物业管理有限公司）（集体户口）</t>
  </si>
  <si>
    <t>河北省邯郸市成安县道东堡镇大姚堡村2组54号</t>
    <phoneticPr fontId="10" type="noConversion"/>
  </si>
  <si>
    <t>辽宁省阜新蒙古族自治县苍土乡下洼子村满有营子123号</t>
    <phoneticPr fontId="1" type="noConversion"/>
  </si>
  <si>
    <t>上海市崇明区建设镇大同村蟠龙1511</t>
    <phoneticPr fontId="1" type="noConversion"/>
  </si>
  <si>
    <t>上海市宝山区新二路999弄38号102室</t>
    <phoneticPr fontId="1" type="noConversion"/>
  </si>
  <si>
    <t>上海市浦东新区巨峰路176弄18号601室</t>
    <phoneticPr fontId="1" type="noConversion"/>
  </si>
  <si>
    <t>北京市通州区葛布店南里99号</t>
  </si>
  <si>
    <t>天津市河西区景兴里</t>
    <phoneticPr fontId="3" type="noConversion"/>
  </si>
  <si>
    <t>北京市丰台区万丰路305亿潼隆之家</t>
  </si>
  <si>
    <t>北京市朝阳区富力又一城A2-1-2001</t>
    <phoneticPr fontId="1" type="noConversion"/>
  </si>
  <si>
    <t>北京市朝阳区和平里街道胜古南里25号楼</t>
    <phoneticPr fontId="1" type="noConversion"/>
  </si>
  <si>
    <t>北京市朝阳区苹果社区</t>
    <phoneticPr fontId="3" type="noConversion"/>
  </si>
  <si>
    <t>河北省廊坊市香河县安平镇共青社小区8号楼2单元302</t>
    <phoneticPr fontId="1" type="noConversion"/>
  </si>
  <si>
    <t>北京市通州区次渠北小区乐乎公寓4号楼A6单元309</t>
    <phoneticPr fontId="1" type="noConversion"/>
  </si>
  <si>
    <t>北京市朝阳区朝丰家园8号院1号楼3-1103</t>
    <phoneticPr fontId="1" type="noConversion"/>
  </si>
  <si>
    <t>北京市房山区良乡伟业嘉园西里23号楼</t>
    <phoneticPr fontId="3" type="noConversion"/>
  </si>
  <si>
    <t>天津市河西区下瓦房街道福至里小区4甲806</t>
  </si>
  <si>
    <t>天津市津南区林城佳苑</t>
    <phoneticPr fontId="3" type="noConversion"/>
  </si>
  <si>
    <t>河北省廊坊市三河市燕郊镇雷捷时代广场二期5-1-2903</t>
  </si>
  <si>
    <t>北京市通州北关三元村9号楼602</t>
    <phoneticPr fontId="3" type="noConversion"/>
  </si>
  <si>
    <t>北京市海淀区万寿路下许宿舍8号楼3单元</t>
    <phoneticPr fontId="1" type="noConversion"/>
  </si>
  <si>
    <t xml:space="preserve">成都市高新区泰和二街333号中海翠屏湾7栋一单元1704 </t>
    <phoneticPr fontId="3" type="noConversion"/>
  </si>
  <si>
    <t>北京市朝阳区</t>
  </si>
  <si>
    <t>北京市朝阳区八里庄街道甘露家园</t>
    <phoneticPr fontId="1" type="noConversion"/>
  </si>
  <si>
    <t>北京市朝阳区常营民族家园69号101</t>
  </si>
  <si>
    <t>北京市怀柔区庙城镇高两河村392号1门</t>
    <phoneticPr fontId="3" type="noConversion"/>
  </si>
  <si>
    <t>北京市通州区华业东方玫瑰</t>
    <phoneticPr fontId="1" type="noConversion"/>
  </si>
  <si>
    <t>北京市朝阳区石佛营东里118楼1201</t>
    <phoneticPr fontId="1" type="noConversion"/>
  </si>
  <si>
    <t>天津市南开区三元村大街雅环里1号楼1门102号</t>
    <phoneticPr fontId="3" type="noConversion"/>
  </si>
  <si>
    <t>石家庄长安区紫晶悦城17-1-1-2603</t>
  </si>
  <si>
    <t>石家庄市珠峰国际花园27-2-3101</t>
  </si>
  <si>
    <t>石家庄市长安区光华生活小区1-1-603</t>
  </si>
  <si>
    <t>河北省石家庄市新华区中华北大街186号中华绿园15-6-201</t>
  </si>
  <si>
    <t>石家庄市长安区翟营大街9号中铁大厦B座9A8</t>
  </si>
  <si>
    <t>深圳市龙华区壹城中心</t>
    <phoneticPr fontId="1" type="noConversion"/>
  </si>
  <si>
    <t>上海市张杨路2999弄21号302</t>
    <phoneticPr fontId="1" type="noConversion"/>
  </si>
  <si>
    <t>燕郊神威北路美林湾小区</t>
  </si>
  <si>
    <t>北京市通州区潞城镇大东各庄村7号</t>
    <phoneticPr fontId="3" type="noConversion"/>
  </si>
  <si>
    <t>朝阳区十八里店南桥前祁庄151号公寓312</t>
    <phoneticPr fontId="1" type="noConversion"/>
  </si>
  <si>
    <t>石家庄市新华区十三所东区1-1-104</t>
  </si>
  <si>
    <t>河北省石家庄市裕华区塔南路与谈固南大街交叉口位同新村南区2号楼4单元601</t>
  </si>
  <si>
    <t>北京市丰台区蒲黄榆一里6楼北门6号</t>
    <phoneticPr fontId="3" type="noConversion"/>
  </si>
  <si>
    <t>北京市安居路6号院3号楼3单元1101</t>
    <phoneticPr fontId="1" type="noConversion"/>
  </si>
  <si>
    <t>河北省廊坊市燕郊开发区福成六期</t>
    <phoneticPr fontId="3" type="noConversion"/>
  </si>
  <si>
    <t>北京市海淀区万寿路42号翠微南里14号</t>
    <phoneticPr fontId="1" type="noConversion"/>
  </si>
  <si>
    <t>石家庄市长安区谈固东街紫鑫苑4-2-1201</t>
  </si>
  <si>
    <t>北京市通州区张家湾镇太玉园西区1号楼1单元502室</t>
    <phoneticPr fontId="3" type="noConversion"/>
  </si>
  <si>
    <t>河北省石家庄市长安区金谈固月坛园14号楼3单元203</t>
    <phoneticPr fontId="1" type="noConversion"/>
  </si>
  <si>
    <t>tony.gao@renshiren.com</t>
    <phoneticPr fontId="3" type="noConversion"/>
  </si>
  <si>
    <t>liuwei2000285@163.com</t>
  </si>
  <si>
    <t>237833796@qq.com</t>
  </si>
  <si>
    <t>805680374@qq.com</t>
  </si>
  <si>
    <t>374801707@qq.com</t>
  </si>
  <si>
    <t>cheesemolly@163.com</t>
    <phoneticPr fontId="1" type="noConversion"/>
  </si>
  <si>
    <t>2801356718@qq.com</t>
    <phoneticPr fontId="1" type="noConversion"/>
  </si>
  <si>
    <t>1207064178@qq.com</t>
  </si>
  <si>
    <t>gesanghua85@163.com</t>
    <phoneticPr fontId="3" type="noConversion"/>
  </si>
  <si>
    <t>993928287@qq.com</t>
  </si>
  <si>
    <t>1486310982@qq.com</t>
    <phoneticPr fontId="1" type="noConversion"/>
  </si>
  <si>
    <t>614004343@qq.com</t>
    <phoneticPr fontId="1" type="noConversion"/>
  </si>
  <si>
    <t>1023673524@qq.com</t>
    <phoneticPr fontId="3" type="noConversion"/>
  </si>
  <si>
    <t>xuff@renshiren.com</t>
  </si>
  <si>
    <t>2939088937@qq.com</t>
  </si>
  <si>
    <t>847457161@qq.com</t>
    <phoneticPr fontId="3" type="noConversion"/>
  </si>
  <si>
    <t>1252256971@qq.com</t>
  </si>
  <si>
    <t>xinling.cheng@renshiren.com</t>
  </si>
  <si>
    <t>164560543@qq.com</t>
  </si>
  <si>
    <t>gzq-spiyit52@126.com</t>
  </si>
  <si>
    <t>1350658766@qq.com</t>
    <phoneticPr fontId="3" type="noConversion"/>
  </si>
  <si>
    <t>vvdwang@icloud.com</t>
    <phoneticPr fontId="1" type="noConversion"/>
  </si>
  <si>
    <t>49922834@qq.com</t>
    <phoneticPr fontId="3" type="noConversion"/>
  </si>
  <si>
    <t>jeney9051@hotmail.com</t>
  </si>
  <si>
    <t>amy.li@renshiren.com</t>
  </si>
  <si>
    <t>douqian@sina.com</t>
    <phoneticPr fontId="1" type="noConversion"/>
  </si>
  <si>
    <t>106023676@qq.com</t>
    <phoneticPr fontId="3" type="noConversion"/>
  </si>
  <si>
    <t>XW13901379447@163.com</t>
    <phoneticPr fontId="1" type="noConversion"/>
  </si>
  <si>
    <t>434412553@qq.com</t>
    <phoneticPr fontId="1" type="noConversion"/>
  </si>
  <si>
    <t>bella.wang@renshiren.com</t>
  </si>
  <si>
    <t>yuki.wu@renshiren.com</t>
  </si>
  <si>
    <t>vivien.tian@renshiren.com</t>
  </si>
  <si>
    <t>zhuojia.luo@renshiren.com</t>
  </si>
  <si>
    <t>460481497@qq.com</t>
  </si>
  <si>
    <t>568420460@qq.com</t>
    <phoneticPr fontId="3" type="noConversion"/>
  </si>
  <si>
    <t>479822268@qq.com</t>
  </si>
  <si>
    <t>625156473@qq.com</t>
  </si>
  <si>
    <t>994563286@qq.com</t>
  </si>
  <si>
    <t>326144684@qq.com</t>
  </si>
  <si>
    <t>852730990@qq.com</t>
  </si>
  <si>
    <t>444206452@qq.com</t>
  </si>
  <si>
    <t>569154098@qq.com</t>
  </si>
  <si>
    <t>1012294956@qq.com</t>
    <phoneticPr fontId="1" type="noConversion"/>
  </si>
  <si>
    <t>824823@163.com</t>
  </si>
  <si>
    <t>41353724@qq.com</t>
  </si>
  <si>
    <t>3468769958@qq.com</t>
  </si>
  <si>
    <t>n13031015775@163.com</t>
    <phoneticPr fontId="1" type="noConversion"/>
  </si>
  <si>
    <t>961589324@qq.com</t>
    <phoneticPr fontId="3" type="noConversion"/>
  </si>
  <si>
    <t>502162497@qq.com</t>
    <phoneticPr fontId="3" type="noConversion"/>
  </si>
  <si>
    <t>2248590510@qq.com</t>
    <phoneticPr fontId="1" type="noConversion"/>
  </si>
  <si>
    <t>18633099123@163.com</t>
  </si>
  <si>
    <t>1481412174@qq.com</t>
    <phoneticPr fontId="3" type="noConversion"/>
  </si>
  <si>
    <t>527506897@qq.com</t>
    <phoneticPr fontId="1" type="noConversion"/>
  </si>
  <si>
    <t>li.chen@renshiren.com</t>
    <phoneticPr fontId="1" type="noConversion"/>
  </si>
  <si>
    <t>401990065@qq.com</t>
    <phoneticPr fontId="1" type="noConversion"/>
  </si>
  <si>
    <t>13810294752</t>
  </si>
  <si>
    <t>王楠</t>
  </si>
  <si>
    <t>张玉芝</t>
    <phoneticPr fontId="3" type="noConversion"/>
  </si>
  <si>
    <t>郑同会</t>
  </si>
  <si>
    <t>李昌</t>
  </si>
  <si>
    <t>王登飞</t>
  </si>
  <si>
    <t>孙女士</t>
    <phoneticPr fontId="1" type="noConversion"/>
  </si>
  <si>
    <t>白贵珍</t>
    <phoneticPr fontId="1" type="noConversion"/>
  </si>
  <si>
    <t>赫威</t>
  </si>
  <si>
    <t>王爱如</t>
    <phoneticPr fontId="3" type="noConversion"/>
  </si>
  <si>
    <t>莫立春</t>
  </si>
  <si>
    <t>刘富军</t>
    <phoneticPr fontId="1" type="noConversion"/>
  </si>
  <si>
    <t>陈浩</t>
    <phoneticPr fontId="1" type="noConversion"/>
  </si>
  <si>
    <t>段春园</t>
    <phoneticPr fontId="3" type="noConversion"/>
  </si>
  <si>
    <t>姜金凤</t>
  </si>
  <si>
    <t>王海亭</t>
  </si>
  <si>
    <t>张超</t>
    <phoneticPr fontId="3" type="noConversion"/>
  </si>
  <si>
    <t>孙铁</t>
  </si>
  <si>
    <t>赵康</t>
  </si>
  <si>
    <t>黄杰敏</t>
    <phoneticPr fontId="1" type="noConversion"/>
  </si>
  <si>
    <t>郭女士</t>
  </si>
  <si>
    <t>魏永军</t>
    <phoneticPr fontId="3" type="noConversion"/>
  </si>
  <si>
    <t>魏丹君</t>
    <phoneticPr fontId="1" type="noConversion"/>
  </si>
  <si>
    <t>钟颖新</t>
    <phoneticPr fontId="3" type="noConversion"/>
  </si>
  <si>
    <t>徐萍</t>
  </si>
  <si>
    <t>祝振涛</t>
    <phoneticPr fontId="1" type="noConversion"/>
  </si>
  <si>
    <t>李青萍</t>
  </si>
  <si>
    <t>姚莉莉</t>
    <phoneticPr fontId="1" type="noConversion"/>
  </si>
  <si>
    <t>孙国兰</t>
  </si>
  <si>
    <t>张广田</t>
    <phoneticPr fontId="3" type="noConversion"/>
  </si>
  <si>
    <t>卢嘉宾</t>
    <phoneticPr fontId="1" type="noConversion"/>
  </si>
  <si>
    <t>李红银</t>
    <phoneticPr fontId="1" type="noConversion"/>
  </si>
  <si>
    <t>杜亚军</t>
    <phoneticPr fontId="1" type="noConversion"/>
  </si>
  <si>
    <t>王春荣</t>
  </si>
  <si>
    <t xml:space="preserve">李微辰 </t>
  </si>
  <si>
    <t>田洁</t>
  </si>
  <si>
    <t>张平</t>
  </si>
  <si>
    <t>王玉玲</t>
  </si>
  <si>
    <t>李涛</t>
    <phoneticPr fontId="3" type="noConversion"/>
  </si>
  <si>
    <t>任亚朋</t>
  </si>
  <si>
    <t>樊海华</t>
  </si>
  <si>
    <t>张宝京</t>
  </si>
  <si>
    <t>李玉龙</t>
  </si>
  <si>
    <t>申女士</t>
  </si>
  <si>
    <t>梁楷</t>
  </si>
  <si>
    <t>王鸿</t>
  </si>
  <si>
    <t>谢小金</t>
  </si>
  <si>
    <t>陈雄</t>
    <phoneticPr fontId="1" type="noConversion"/>
  </si>
  <si>
    <t>刘先生</t>
  </si>
  <si>
    <t>柏晓丽</t>
    <phoneticPr fontId="3" type="noConversion"/>
  </si>
  <si>
    <t>薛秀军</t>
    <phoneticPr fontId="1" type="noConversion"/>
  </si>
  <si>
    <t>李康</t>
  </si>
  <si>
    <t>张立娟</t>
  </si>
  <si>
    <t>倪润红</t>
    <phoneticPr fontId="1" type="noConversion"/>
  </si>
  <si>
    <t>周伟</t>
    <phoneticPr fontId="3" type="noConversion"/>
  </si>
  <si>
    <t>杨松</t>
    <phoneticPr fontId="1" type="noConversion"/>
  </si>
  <si>
    <t>辛淑菊</t>
    <phoneticPr fontId="3" type="noConversion"/>
  </si>
  <si>
    <t>胡光耀</t>
    <phoneticPr fontId="1" type="noConversion"/>
  </si>
  <si>
    <t>张钟丹</t>
  </si>
  <si>
    <t>王俊梅</t>
    <phoneticPr fontId="3" type="noConversion"/>
  </si>
  <si>
    <t>陈永兴</t>
    <phoneticPr fontId="1" type="noConversion"/>
  </si>
  <si>
    <t>赵表</t>
    <phoneticPr fontId="1" type="noConversion"/>
  </si>
  <si>
    <t>卞玉琴</t>
    <phoneticPr fontId="1" type="noConversion"/>
  </si>
  <si>
    <t>华丽雯</t>
    <phoneticPr fontId="1" type="noConversion"/>
  </si>
  <si>
    <t>13393218068</t>
  </si>
  <si>
    <t>15832885490</t>
  </si>
  <si>
    <t>18032091717</t>
  </si>
  <si>
    <t>13436564583</t>
    <phoneticPr fontId="1" type="noConversion"/>
  </si>
  <si>
    <t>13302183125</t>
  </si>
  <si>
    <t>13663543279</t>
  </si>
  <si>
    <t>15512123333</t>
  </si>
  <si>
    <t>15216780968</t>
  </si>
  <si>
    <t>13989329781</t>
  </si>
  <si>
    <t>13734223690</t>
  </si>
  <si>
    <t>15835961250</t>
    <phoneticPr fontId="3" type="noConversion"/>
  </si>
  <si>
    <t>18600902090</t>
    <phoneticPr fontId="1" type="noConversion"/>
  </si>
  <si>
    <t>13901182286</t>
  </si>
  <si>
    <t>13820862521</t>
  </si>
  <si>
    <t>13683598940</t>
    <phoneticPr fontId="1" type="noConversion"/>
  </si>
  <si>
    <t>13701171877</t>
    <phoneticPr fontId="1" type="noConversion"/>
  </si>
  <si>
    <t>18701265298</t>
    <phoneticPr fontId="1" type="noConversion"/>
  </si>
  <si>
    <t>13602072270</t>
  </si>
  <si>
    <t>13672015036</t>
  </si>
  <si>
    <t>13820888172</t>
  </si>
  <si>
    <t>18522141364</t>
  </si>
  <si>
    <t>13612038131</t>
  </si>
  <si>
    <t>13292830325</t>
  </si>
  <si>
    <t>15027457952</t>
  </si>
  <si>
    <t>18273723719</t>
  </si>
  <si>
    <t>13901754953</t>
    <phoneticPr fontId="1" type="noConversion"/>
  </si>
  <si>
    <t>18600514399</t>
  </si>
  <si>
    <t>15373056615
13780219443</t>
    <phoneticPr fontId="3" type="noConversion"/>
  </si>
  <si>
    <t>18731665810</t>
    <phoneticPr fontId="1" type="noConversion"/>
  </si>
  <si>
    <t>18031191217</t>
  </si>
  <si>
    <t>13761816874</t>
    <phoneticPr fontId="1" type="noConversion"/>
  </si>
  <si>
    <t>15000633256</t>
    <phoneticPr fontId="1" type="noConversion"/>
  </si>
  <si>
    <t>已婚</t>
  </si>
  <si>
    <t>未婚</t>
    <phoneticPr fontId="3" type="noConversion"/>
  </si>
  <si>
    <t>已婚</t>
    <phoneticPr fontId="3" type="noConversion"/>
  </si>
  <si>
    <t>离异</t>
    <phoneticPr fontId="1" type="noConversion"/>
  </si>
  <si>
    <t>未婚</t>
    <phoneticPr fontId="1" type="noConversion"/>
  </si>
  <si>
    <t>未婚</t>
  </si>
  <si>
    <t>已婚</t>
    <phoneticPr fontId="1" type="noConversion"/>
  </si>
  <si>
    <t>离异</t>
    <phoneticPr fontId="3" type="noConversion"/>
  </si>
  <si>
    <t>本科</t>
  </si>
  <si>
    <t>大专</t>
  </si>
  <si>
    <t>大专</t>
    <phoneticPr fontId="1" type="noConversion"/>
  </si>
  <si>
    <t>硕士</t>
    <phoneticPr fontId="3" type="noConversion"/>
  </si>
  <si>
    <t>本科</t>
    <phoneticPr fontId="1" type="noConversion"/>
  </si>
  <si>
    <t>本科</t>
    <phoneticPr fontId="3" type="noConversion"/>
  </si>
  <si>
    <t>大专</t>
    <phoneticPr fontId="3" type="noConversion"/>
  </si>
  <si>
    <t>硕士</t>
    <phoneticPr fontId="1" type="noConversion"/>
  </si>
  <si>
    <t>英国赫特福德大学</t>
  </si>
  <si>
    <t>哈尔滨学院</t>
  </si>
  <si>
    <t>天津外国语学院</t>
    <phoneticPr fontId="3" type="noConversion"/>
  </si>
  <si>
    <t>河北科技大学</t>
  </si>
  <si>
    <t>河北经贸大学</t>
  </si>
  <si>
    <t>中国环境管理干部学院</t>
  </si>
  <si>
    <t>中国传媒大学南广学院</t>
    <phoneticPr fontId="1" type="noConversion"/>
  </si>
  <si>
    <t>国家开放大学</t>
    <phoneticPr fontId="1" type="noConversion"/>
  </si>
  <si>
    <t>河北大学</t>
  </si>
  <si>
    <t>Bentley University</t>
    <phoneticPr fontId="3" type="noConversion"/>
  </si>
  <si>
    <t>河北化工医药职业技术学院</t>
  </si>
  <si>
    <t>河北金融学院</t>
    <phoneticPr fontId="1" type="noConversion"/>
  </si>
  <si>
    <t>北京科技大学</t>
    <phoneticPr fontId="1" type="noConversion"/>
  </si>
  <si>
    <t>中央财经大学</t>
    <phoneticPr fontId="3" type="noConversion"/>
  </si>
  <si>
    <t xml:space="preserve">天津市外国语滨海外事学院 </t>
  </si>
  <si>
    <t>秦皇岛职业技术学院</t>
  </si>
  <si>
    <t>天津中德职业技术学院</t>
    <phoneticPr fontId="3" type="noConversion"/>
  </si>
  <si>
    <t>黄淮学院</t>
  </si>
  <si>
    <t>绍兴文理学院</t>
    <phoneticPr fontId="1" type="noConversion"/>
  </si>
  <si>
    <t>运城学院</t>
  </si>
  <si>
    <t>山西应用科技学院</t>
    <phoneticPr fontId="3" type="noConversion"/>
  </si>
  <si>
    <t>西南石油大学</t>
    <phoneticPr fontId="1" type="noConversion"/>
  </si>
  <si>
    <t>西南交通大学</t>
    <phoneticPr fontId="3" type="noConversion"/>
  </si>
  <si>
    <t>英国SURREY大学</t>
  </si>
  <si>
    <t>西安石油大学</t>
    <phoneticPr fontId="1" type="noConversion"/>
  </si>
  <si>
    <t>天津财经大学</t>
  </si>
  <si>
    <t>北京工业大学</t>
    <phoneticPr fontId="1" type="noConversion"/>
  </si>
  <si>
    <t>北方工业大学</t>
  </si>
  <si>
    <t>北京物资学院</t>
    <phoneticPr fontId="3" type="noConversion"/>
  </si>
  <si>
    <t>中央广播电视大学</t>
    <phoneticPr fontId="1" type="noConversion"/>
  </si>
  <si>
    <t>北京劳动保障职业学校</t>
    <phoneticPr fontId="1" type="noConversion"/>
  </si>
  <si>
    <t>北京农学院</t>
    <phoneticPr fontId="1" type="noConversion"/>
  </si>
  <si>
    <t>天津职业大学</t>
  </si>
  <si>
    <t>南开大学</t>
  </si>
  <si>
    <t>天津大学</t>
  </si>
  <si>
    <t>天津外国语大学滨海外事学院</t>
  </si>
  <si>
    <t>天津城市职业学院</t>
  </si>
  <si>
    <t>天津南开大学</t>
    <phoneticPr fontId="3" type="noConversion"/>
  </si>
  <si>
    <t>石家庄铁道大学四方学院</t>
  </si>
  <si>
    <t>河北师范大学汇华学院</t>
  </si>
  <si>
    <t>河北地质大学</t>
  </si>
  <si>
    <t>石家庄信息工程职业学院</t>
  </si>
  <si>
    <t>邯郸职业技术学院</t>
  </si>
  <si>
    <t>北京语言大学</t>
  </si>
  <si>
    <t>北京中医药大学东方学院</t>
  </si>
  <si>
    <t>湖南城市学院</t>
  </si>
  <si>
    <t>英国桑德兰大学</t>
    <phoneticPr fontId="1" type="noConversion"/>
  </si>
  <si>
    <t>青岛滨海学院</t>
  </si>
  <si>
    <t>北京交通大学</t>
    <phoneticPr fontId="3" type="noConversion"/>
  </si>
  <si>
    <t>邯郸职业技术学院</t>
    <phoneticPr fontId="1" type="noConversion"/>
  </si>
  <si>
    <t>河北师范大学公共管理学院</t>
  </si>
  <si>
    <t>石家庄财经职业学院</t>
  </si>
  <si>
    <t>北京科技大学</t>
    <phoneticPr fontId="3" type="noConversion"/>
  </si>
  <si>
    <t>邢台学院</t>
    <phoneticPr fontId="1" type="noConversion"/>
  </si>
  <si>
    <t>河北民族师范学院</t>
    <phoneticPr fontId="3" type="noConversion"/>
  </si>
  <si>
    <t>武汉生物工程学院</t>
    <phoneticPr fontId="1" type="noConversion"/>
  </si>
  <si>
    <t>江西先锋软件职业技术学院</t>
  </si>
  <si>
    <t>河北省成安县综合职业技术学校</t>
    <phoneticPr fontId="3" type="noConversion"/>
  </si>
  <si>
    <t>辽宁林业职业技术学院</t>
    <phoneticPr fontId="1" type="noConversion"/>
  </si>
  <si>
    <t>上海开放大学</t>
    <phoneticPr fontId="1" type="noConversion"/>
  </si>
  <si>
    <t>江南大学</t>
    <phoneticPr fontId="1" type="noConversion"/>
  </si>
  <si>
    <t>上海城市管理学院</t>
    <phoneticPr fontId="1" type="noConversion"/>
  </si>
  <si>
    <t>工商管理</t>
  </si>
  <si>
    <t>财务管理</t>
  </si>
  <si>
    <t>德语系</t>
    <phoneticPr fontId="3" type="noConversion"/>
  </si>
  <si>
    <t>工商企业管理</t>
  </si>
  <si>
    <t>会计学</t>
  </si>
  <si>
    <t>绿色食品工程</t>
  </si>
  <si>
    <t>音乐编辑</t>
    <phoneticPr fontId="1" type="noConversion"/>
  </si>
  <si>
    <t>行政管理</t>
    <phoneticPr fontId="1" type="noConversion"/>
  </si>
  <si>
    <t>汉语言文学</t>
  </si>
  <si>
    <t>Awuntsry Finance</t>
    <phoneticPr fontId="3" type="noConversion"/>
  </si>
  <si>
    <t>药物制剂技术</t>
  </si>
  <si>
    <t>财务管理</t>
    <phoneticPr fontId="1" type="noConversion"/>
  </si>
  <si>
    <t>会计学</t>
    <phoneticPr fontId="1" type="noConversion"/>
  </si>
  <si>
    <t>会计学</t>
    <phoneticPr fontId="3" type="noConversion"/>
  </si>
  <si>
    <t>英语</t>
  </si>
  <si>
    <t>审计</t>
  </si>
  <si>
    <t>人力资源管理</t>
    <phoneticPr fontId="3" type="noConversion"/>
  </si>
  <si>
    <t>计算机科学与技术</t>
  </si>
  <si>
    <t>计算机科学与技术</t>
    <phoneticPr fontId="3" type="noConversion"/>
  </si>
  <si>
    <t>机电一体化</t>
    <phoneticPr fontId="1" type="noConversion"/>
  </si>
  <si>
    <t>工商管理</t>
    <phoneticPr fontId="3" type="noConversion"/>
  </si>
  <si>
    <t>国际财务管理</t>
  </si>
  <si>
    <t>人力资源管理</t>
    <phoneticPr fontId="1" type="noConversion"/>
  </si>
  <si>
    <t>工商管理专业</t>
  </si>
  <si>
    <t>社会工作</t>
  </si>
  <si>
    <t>劳动与社会保障</t>
    <phoneticPr fontId="3" type="noConversion"/>
  </si>
  <si>
    <t>金融</t>
    <phoneticPr fontId="1" type="noConversion"/>
  </si>
  <si>
    <t>人力资源管理</t>
  </si>
  <si>
    <t>食品科学与工程</t>
    <phoneticPr fontId="1" type="noConversion"/>
  </si>
  <si>
    <t>计算机多媒体</t>
  </si>
  <si>
    <t>人力资源</t>
  </si>
  <si>
    <t>英语（国际商务）</t>
  </si>
  <si>
    <t>电子商务</t>
  </si>
  <si>
    <t>法律</t>
    <phoneticPr fontId="3" type="noConversion"/>
  </si>
  <si>
    <t>信息管理与信息系统</t>
  </si>
  <si>
    <t>财政专业</t>
  </si>
  <si>
    <t>物流管理</t>
  </si>
  <si>
    <t>应用英语</t>
  </si>
  <si>
    <t>公共事业管理</t>
  </si>
  <si>
    <t>工商管理</t>
    <phoneticPr fontId="1" type="noConversion"/>
  </si>
  <si>
    <t>经贸韩语</t>
  </si>
  <si>
    <t>公路运输与管理</t>
    <phoneticPr fontId="3" type="noConversion"/>
  </si>
  <si>
    <t>会展策划与管理</t>
    <phoneticPr fontId="1" type="noConversion"/>
  </si>
  <si>
    <t>经济管理学院-电子商务</t>
  </si>
  <si>
    <t>科学教育</t>
    <phoneticPr fontId="1" type="noConversion"/>
  </si>
  <si>
    <t>计算机网络技术</t>
  </si>
  <si>
    <t>计算机应用</t>
    <phoneticPr fontId="3" type="noConversion"/>
  </si>
  <si>
    <t>计算机应用</t>
    <phoneticPr fontId="1" type="noConversion"/>
  </si>
  <si>
    <t>工商企业管理</t>
    <phoneticPr fontId="1" type="noConversion"/>
  </si>
  <si>
    <t>市政工程</t>
    <phoneticPr fontId="1" type="noConversion"/>
  </si>
  <si>
    <t>初级会计</t>
  </si>
  <si>
    <t>一级企业人力资源管理师</t>
  </si>
  <si>
    <t>三级企业人力资源管理师</t>
  </si>
  <si>
    <t>二级企业人力资源管理师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</si>
</sst>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9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3"/>
      <charset val="134"/>
    </font>
    <font>
      <sz val="12"/>
      <name val="宋体"/>
      <family val="3"/>
      <charset val="134"/>
    </font>
    <font>
      <sz val="10"/>
      <name val="等线"/>
      <family val="3"/>
      <charset val="134"/>
      <scheme val="minor"/>
    </font>
    <font>
      <sz val="10"/>
      <color rgb="FF0070C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Arial"/>
      <family val="2"/>
    </font>
    <font>
      <u/>
      <sz val="10"/>
      <color theme="1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u/>
      <sz val="10"/>
      <color rgb="FF800080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0" borderId="0">
      <alignment vertical="center"/>
    </xf>
    <xf numFmtId="0" fontId="7" fillId="0" borderId="0">
      <alignment vertical="center"/>
    </xf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38">
    <xf numFmtId="0" fontId="0" fillId="0" borderId="0" xfId="0"/>
    <xf numFmtId="49" fontId="2" fillId="0" borderId="3" xfId="0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0" fillId="2" borderId="0" xfId="0" applyNumberFormat="1" applyFill="1"/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0" borderId="3" xfId="2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/>
    </xf>
    <xf numFmtId="49" fontId="13" fillId="0" borderId="3" xfId="3" applyNumberFormat="1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3" xfId="6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49" fontId="13" fillId="0" borderId="3" xfId="4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49" fontId="8" fillId="0" borderId="3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 wrapText="1"/>
    </xf>
    <xf numFmtId="49" fontId="13" fillId="0" borderId="3" xfId="3" applyNumberFormat="1" applyFont="1" applyFill="1" applyBorder="1" applyAlignment="1">
      <alignment horizontal="center" vertical="center" wrapText="1"/>
    </xf>
    <xf numFmtId="49" fontId="13" fillId="0" borderId="3" xfId="3" applyNumberFormat="1" applyFont="1" applyFill="1" applyBorder="1" applyAlignment="1" applyProtection="1">
      <alignment horizontal="center" vertical="center" wrapText="1"/>
      <protection locked="0"/>
    </xf>
    <xf numFmtId="49" fontId="5" fillId="0" borderId="3" xfId="6" applyNumberFormat="1" applyFont="1" applyBorder="1" applyAlignment="1">
      <alignment horizontal="center" vertical="center" wrapText="1"/>
    </xf>
    <xf numFmtId="49" fontId="5" fillId="0" borderId="3" xfId="6" applyNumberFormat="1" applyFont="1" applyBorder="1" applyAlignment="1" applyProtection="1">
      <alignment horizontal="center" vertical="center" wrapText="1"/>
      <protection locked="0"/>
    </xf>
    <xf numFmtId="49" fontId="2" fillId="3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Border="1" applyAlignment="1" applyProtection="1">
      <alignment horizontal="center" vertical="center" wrapText="1"/>
      <protection locked="0"/>
    </xf>
    <xf numFmtId="49" fontId="5" fillId="0" borderId="3" xfId="1" applyNumberFormat="1" applyFont="1" applyBorder="1" applyAlignment="1" applyProtection="1">
      <alignment horizontal="center" vertical="center" wrapText="1"/>
      <protection locked="0"/>
    </xf>
    <xf numFmtId="49" fontId="5" fillId="0" borderId="3" xfId="0" applyNumberFormat="1" applyFont="1" applyBorder="1" applyAlignment="1" applyProtection="1">
      <alignment horizontal="center" vertical="center" wrapText="1"/>
      <protection locked="0"/>
    </xf>
    <xf numFmtId="49" fontId="15" fillId="0" borderId="3" xfId="4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5" fillId="0" borderId="4" xfId="2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3" fillId="0" borderId="4" xfId="3" applyNumberFormat="1" applyFont="1" applyFill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6" applyNumberFormat="1" applyFont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/>
    </xf>
  </cellXfs>
  <cellStyles count="7">
    <cellStyle name="常规" xfId="0" builtinId="0"/>
    <cellStyle name="常规 10" xfId="5"/>
    <cellStyle name="常规 15 3" xfId="6"/>
    <cellStyle name="常规 46" xfId="1"/>
    <cellStyle name="超链接" xfId="3" builtinId="8"/>
    <cellStyle name="超链接 7" xfId="4"/>
    <cellStyle name="样式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350658766@qq.com" TargetMode="External"/><Relationship Id="rId13" Type="http://schemas.openxmlformats.org/officeDocument/2006/relationships/hyperlink" Target="mailto:961589324@qq.com" TargetMode="External"/><Relationship Id="rId18" Type="http://schemas.openxmlformats.org/officeDocument/2006/relationships/hyperlink" Target="mailto:49922834@qq.com" TargetMode="External"/><Relationship Id="rId3" Type="http://schemas.openxmlformats.org/officeDocument/2006/relationships/hyperlink" Target="mailto:1012294956@qq.com" TargetMode="External"/><Relationship Id="rId21" Type="http://schemas.openxmlformats.org/officeDocument/2006/relationships/hyperlink" Target="mailto:2248590510@qq.com" TargetMode="External"/><Relationship Id="rId7" Type="http://schemas.openxmlformats.org/officeDocument/2006/relationships/hyperlink" Target="mailto:XW13901379447@163.com" TargetMode="External"/><Relationship Id="rId12" Type="http://schemas.openxmlformats.org/officeDocument/2006/relationships/hyperlink" Target="mailto:gesanghua85@163.com" TargetMode="External"/><Relationship Id="rId17" Type="http://schemas.openxmlformats.org/officeDocument/2006/relationships/hyperlink" Target="mailto:568420460@qq.com" TargetMode="External"/><Relationship Id="rId25" Type="http://schemas.openxmlformats.org/officeDocument/2006/relationships/hyperlink" Target="mailto:tony.gao@renshiren.com" TargetMode="External"/><Relationship Id="rId2" Type="http://schemas.openxmlformats.org/officeDocument/2006/relationships/hyperlink" Target="mailto:2801356718@qq.com" TargetMode="External"/><Relationship Id="rId16" Type="http://schemas.openxmlformats.org/officeDocument/2006/relationships/hyperlink" Target="mailto:847457161@qq.com" TargetMode="External"/><Relationship Id="rId20" Type="http://schemas.openxmlformats.org/officeDocument/2006/relationships/hyperlink" Target="mailto:502162497@qq.com" TargetMode="External"/><Relationship Id="rId1" Type="http://schemas.openxmlformats.org/officeDocument/2006/relationships/hyperlink" Target="mailto:cheesemolly@163.com" TargetMode="External"/><Relationship Id="rId6" Type="http://schemas.openxmlformats.org/officeDocument/2006/relationships/hyperlink" Target="mailto:douqian@sina.com" TargetMode="External"/><Relationship Id="rId11" Type="http://schemas.openxmlformats.org/officeDocument/2006/relationships/hyperlink" Target="mailto:n13031015775@163.com" TargetMode="External"/><Relationship Id="rId24" Type="http://schemas.openxmlformats.org/officeDocument/2006/relationships/hyperlink" Target="mailto:434412553@qq.com" TargetMode="External"/><Relationship Id="rId5" Type="http://schemas.openxmlformats.org/officeDocument/2006/relationships/hyperlink" Target="mailto:527506897@qq.com" TargetMode="External"/><Relationship Id="rId15" Type="http://schemas.openxmlformats.org/officeDocument/2006/relationships/hyperlink" Target="mailto:106023676@qq.com" TargetMode="External"/><Relationship Id="rId23" Type="http://schemas.openxmlformats.org/officeDocument/2006/relationships/hyperlink" Target="mailto:401990065@qq.com" TargetMode="External"/><Relationship Id="rId10" Type="http://schemas.openxmlformats.org/officeDocument/2006/relationships/hyperlink" Target="mailto:614004343@qq.com" TargetMode="External"/><Relationship Id="rId19" Type="http://schemas.openxmlformats.org/officeDocument/2006/relationships/hyperlink" Target="mailto:1023673524@qq.com" TargetMode="External"/><Relationship Id="rId4" Type="http://schemas.openxmlformats.org/officeDocument/2006/relationships/hyperlink" Target="mailto:li.chen@renshiren.com" TargetMode="External"/><Relationship Id="rId9" Type="http://schemas.openxmlformats.org/officeDocument/2006/relationships/hyperlink" Target="mailto:vvdwang@icloud.com" TargetMode="External"/><Relationship Id="rId14" Type="http://schemas.openxmlformats.org/officeDocument/2006/relationships/hyperlink" Target="mailto:1481412174@qq.com" TargetMode="External"/><Relationship Id="rId22" Type="http://schemas.openxmlformats.org/officeDocument/2006/relationships/hyperlink" Target="mailto:148631098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5"/>
  <sheetViews>
    <sheetView tabSelected="1" topLeftCell="T1" workbookViewId="0">
      <selection activeCell="V2" sqref="V2"/>
    </sheetView>
  </sheetViews>
  <sheetFormatPr defaultRowHeight="13.2" x14ac:dyDescent="0.25"/>
  <cols>
    <col min="1" max="7" width="15" customWidth="1"/>
    <col min="8" max="8" width="22.21875" bestFit="1" customWidth="1"/>
    <col min="9" max="18" width="15" customWidth="1"/>
    <col min="19" max="19" width="92.33203125" bestFit="1" customWidth="1"/>
    <col min="20" max="20" width="48.77734375" bestFit="1" customWidth="1"/>
    <col min="21" max="21" width="27.109375" bestFit="1" customWidth="1"/>
    <col min="22" max="22" width="15" style="1" customWidth="1"/>
    <col min="23" max="23" width="15" customWidth="1"/>
    <col min="24" max="24" width="15" style="1" customWidth="1"/>
    <col min="25" max="29" width="15" customWidth="1"/>
    <col min="30" max="30" width="29.77734375" bestFit="1" customWidth="1"/>
    <col min="31" max="31" width="22.5546875" bestFit="1" customWidth="1"/>
    <col min="32" max="50" width="15" customWidth="1"/>
  </cols>
  <sheetData>
    <row r="1" spans="1: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177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37" t="s">
        <v>20</v>
      </c>
      <c r="W1" s="5" t="s">
        <v>21</v>
      </c>
      <c r="X1" s="37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</row>
    <row r="2" spans="1:45" x14ac:dyDescent="0.25">
      <c r="A2" s="7" t="s">
        <v>44</v>
      </c>
      <c r="B2" s="6" t="s">
        <v>108</v>
      </c>
      <c r="C2" s="8" t="s">
        <v>110</v>
      </c>
      <c r="D2" s="9" t="s">
        <v>111</v>
      </c>
      <c r="E2" s="6">
        <v>44</v>
      </c>
      <c r="F2" s="6"/>
      <c r="G2" s="1" t="s">
        <v>112</v>
      </c>
      <c r="H2" s="1" t="s">
        <v>113</v>
      </c>
      <c r="I2" s="6"/>
      <c r="J2" s="6"/>
      <c r="K2" s="10">
        <v>39737</v>
      </c>
      <c r="L2" s="1">
        <v>0</v>
      </c>
      <c r="M2" s="11">
        <f>IF(K2="","",DATE(YEAR(K2),MONTH(K2)+L2,DAY(K2)))</f>
        <v>39737</v>
      </c>
      <c r="N2" s="6"/>
      <c r="O2" s="6">
        <v>17.2</v>
      </c>
      <c r="P2" s="3" t="s">
        <v>178</v>
      </c>
      <c r="Q2" s="1" t="s">
        <v>191</v>
      </c>
      <c r="R2" s="3" t="s">
        <v>196</v>
      </c>
      <c r="S2" s="1" t="s">
        <v>210</v>
      </c>
      <c r="T2" s="3"/>
      <c r="U2" s="12" t="s">
        <v>316</v>
      </c>
      <c r="V2" s="1">
        <v>18611333191</v>
      </c>
      <c r="W2" s="1"/>
      <c r="Y2" s="3" t="s">
        <v>467</v>
      </c>
      <c r="Z2" s="6"/>
      <c r="AA2" s="6"/>
      <c r="AB2" s="1" t="s">
        <v>475</v>
      </c>
      <c r="AC2" s="13">
        <v>38412</v>
      </c>
      <c r="AD2" s="14" t="s">
        <v>483</v>
      </c>
      <c r="AE2" s="14" t="s">
        <v>545</v>
      </c>
      <c r="AF2" s="1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x14ac:dyDescent="0.25">
      <c r="A3" s="7" t="s">
        <v>45</v>
      </c>
      <c r="B3" s="6" t="s">
        <v>108</v>
      </c>
      <c r="C3" s="8" t="s">
        <v>110</v>
      </c>
      <c r="D3" s="9" t="s">
        <v>111</v>
      </c>
      <c r="E3" s="6">
        <v>42</v>
      </c>
      <c r="F3" s="6"/>
      <c r="G3" s="1" t="s">
        <v>112</v>
      </c>
      <c r="H3" s="1" t="s">
        <v>114</v>
      </c>
      <c r="I3" s="6"/>
      <c r="J3" s="6"/>
      <c r="K3" s="10">
        <v>43444</v>
      </c>
      <c r="L3" s="1">
        <v>3</v>
      </c>
      <c r="M3" s="1">
        <f>IF(K3="","",DATE(YEAR(K3),MONTH(K3)+L3,DAY(K3)-1))</f>
        <v>43533</v>
      </c>
      <c r="N3" s="6"/>
      <c r="O3" s="6">
        <v>7</v>
      </c>
      <c r="P3" s="3" t="s">
        <v>179</v>
      </c>
      <c r="Q3" s="1" t="s">
        <v>192</v>
      </c>
      <c r="R3" s="3" t="s">
        <v>197</v>
      </c>
      <c r="S3" s="1" t="s">
        <v>211</v>
      </c>
      <c r="T3" s="3" t="s">
        <v>274</v>
      </c>
      <c r="U3" s="1" t="s">
        <v>317</v>
      </c>
      <c r="V3" s="1">
        <v>15810253715</v>
      </c>
      <c r="W3" s="1" t="s">
        <v>372</v>
      </c>
      <c r="X3" s="1">
        <v>15011487817</v>
      </c>
      <c r="Y3" s="3" t="s">
        <v>467</v>
      </c>
      <c r="Z3" s="6"/>
      <c r="AA3" s="6"/>
      <c r="AB3" s="1" t="s">
        <v>475</v>
      </c>
      <c r="AC3" s="13">
        <v>39268</v>
      </c>
      <c r="AD3" s="14" t="s">
        <v>484</v>
      </c>
      <c r="AE3" s="14" t="s">
        <v>546</v>
      </c>
      <c r="AF3" s="1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x14ac:dyDescent="0.25">
      <c r="A4" s="15" t="s">
        <v>46</v>
      </c>
      <c r="B4" s="6" t="s">
        <v>108</v>
      </c>
      <c r="C4" s="8" t="s">
        <v>110</v>
      </c>
      <c r="D4" s="9" t="s">
        <v>111</v>
      </c>
      <c r="E4" s="6">
        <v>32</v>
      </c>
      <c r="F4" s="6"/>
      <c r="G4" s="1" t="s">
        <v>112</v>
      </c>
      <c r="H4" s="1" t="s">
        <v>115</v>
      </c>
      <c r="I4" s="6"/>
      <c r="J4" s="6"/>
      <c r="K4" s="16">
        <v>45370</v>
      </c>
      <c r="L4" s="1">
        <v>0</v>
      </c>
      <c r="M4" s="11">
        <f>IF(K4="","",DATE(YEAR(K4),MONTH(K4)+L4,DAY(K4)))</f>
        <v>45370</v>
      </c>
      <c r="N4" s="6"/>
      <c r="O4" s="6">
        <v>1.9</v>
      </c>
      <c r="P4" s="3" t="s">
        <v>179</v>
      </c>
      <c r="Q4" s="1" t="s">
        <v>192</v>
      </c>
      <c r="R4" s="3" t="s">
        <v>197</v>
      </c>
      <c r="S4" s="3" t="s">
        <v>212</v>
      </c>
      <c r="T4" s="3" t="s">
        <v>275</v>
      </c>
      <c r="U4" s="12"/>
      <c r="V4" s="1">
        <v>15022346640</v>
      </c>
      <c r="W4" s="1" t="s">
        <v>373</v>
      </c>
      <c r="X4" s="1">
        <v>15522037318</v>
      </c>
      <c r="Y4" s="3" t="s">
        <v>468</v>
      </c>
      <c r="Z4" s="6"/>
      <c r="AA4" s="6"/>
      <c r="AB4" s="1" t="s">
        <v>475</v>
      </c>
      <c r="AC4" s="1">
        <v>42185</v>
      </c>
      <c r="AD4" s="1" t="s">
        <v>485</v>
      </c>
      <c r="AE4" s="1" t="s">
        <v>547</v>
      </c>
      <c r="AF4" s="3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45" x14ac:dyDescent="0.25">
      <c r="A5" s="7" t="s">
        <v>47</v>
      </c>
      <c r="B5" s="6" t="s">
        <v>109</v>
      </c>
      <c r="C5" s="8" t="s">
        <v>110</v>
      </c>
      <c r="D5" s="9" t="s">
        <v>111</v>
      </c>
      <c r="E5" s="6">
        <v>42</v>
      </c>
      <c r="F5" s="6"/>
      <c r="G5" s="1" t="s">
        <v>112</v>
      </c>
      <c r="H5" s="1" t="s">
        <v>116</v>
      </c>
      <c r="I5" s="6"/>
      <c r="J5" s="6"/>
      <c r="K5" s="10">
        <v>43654</v>
      </c>
      <c r="L5" s="1">
        <v>3</v>
      </c>
      <c r="M5" s="1">
        <f t="shared" ref="M5:M21" si="0">IF(K5="","",DATE(YEAR(K5),MONTH(K5)+L5,DAY(K5)-1))</f>
        <v>43745</v>
      </c>
      <c r="N5" s="6"/>
      <c r="O5" s="6">
        <v>6.5</v>
      </c>
      <c r="P5" s="3" t="s">
        <v>180</v>
      </c>
      <c r="Q5" s="1" t="s">
        <v>193</v>
      </c>
      <c r="R5" s="3" t="s">
        <v>198</v>
      </c>
      <c r="S5" s="1" t="s">
        <v>213</v>
      </c>
      <c r="T5" s="3"/>
      <c r="U5" s="17" t="s">
        <v>318</v>
      </c>
      <c r="V5" s="1">
        <v>18903395059</v>
      </c>
      <c r="W5" s="1" t="s">
        <v>374</v>
      </c>
      <c r="X5" s="1" t="s">
        <v>435</v>
      </c>
      <c r="Y5" s="3" t="s">
        <v>469</v>
      </c>
      <c r="Z5" s="6"/>
      <c r="AA5" s="6"/>
      <c r="AB5" s="1" t="s">
        <v>476</v>
      </c>
      <c r="AC5" s="13">
        <v>41821</v>
      </c>
      <c r="AD5" s="14" t="s">
        <v>486</v>
      </c>
      <c r="AE5" s="14" t="s">
        <v>548</v>
      </c>
      <c r="AF5" s="1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spans="1:45" x14ac:dyDescent="0.25">
      <c r="A6" s="7" t="s">
        <v>48</v>
      </c>
      <c r="B6" s="6" t="s">
        <v>109</v>
      </c>
      <c r="C6" s="8" t="s">
        <v>110</v>
      </c>
      <c r="D6" s="9" t="s">
        <v>111</v>
      </c>
      <c r="E6" s="6">
        <v>44</v>
      </c>
      <c r="F6" s="6"/>
      <c r="G6" s="1" t="s">
        <v>112</v>
      </c>
      <c r="H6" s="1" t="s">
        <v>117</v>
      </c>
      <c r="I6" s="6"/>
      <c r="J6" s="6"/>
      <c r="K6" s="10">
        <v>43040</v>
      </c>
      <c r="L6" s="1">
        <v>3</v>
      </c>
      <c r="M6" s="1">
        <f t="shared" si="0"/>
        <v>43131</v>
      </c>
      <c r="N6" s="6"/>
      <c r="O6" s="6">
        <v>8.1</v>
      </c>
      <c r="P6" s="1" t="s">
        <v>181</v>
      </c>
      <c r="Q6" s="1" t="s">
        <v>192</v>
      </c>
      <c r="R6" s="3" t="s">
        <v>197</v>
      </c>
      <c r="S6" s="1" t="s">
        <v>214</v>
      </c>
      <c r="T6" s="3"/>
      <c r="U6" s="17" t="s">
        <v>319</v>
      </c>
      <c r="V6" s="1">
        <v>15533671631</v>
      </c>
      <c r="W6" s="1" t="s">
        <v>375</v>
      </c>
      <c r="X6" s="1">
        <v>15531166797</v>
      </c>
      <c r="Y6" s="3" t="s">
        <v>470</v>
      </c>
      <c r="Z6" s="6"/>
      <c r="AA6" s="6"/>
      <c r="AB6" s="1" t="s">
        <v>475</v>
      </c>
      <c r="AC6" s="13">
        <v>38139</v>
      </c>
      <c r="AD6" s="14" t="s">
        <v>487</v>
      </c>
      <c r="AE6" s="14" t="s">
        <v>549</v>
      </c>
      <c r="AF6" s="1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x14ac:dyDescent="0.25">
      <c r="A7" s="7" t="s">
        <v>49</v>
      </c>
      <c r="B7" s="6" t="s">
        <v>109</v>
      </c>
      <c r="C7" s="8" t="s">
        <v>110</v>
      </c>
      <c r="D7" s="9" t="s">
        <v>111</v>
      </c>
      <c r="E7" s="6">
        <v>35</v>
      </c>
      <c r="F7" s="6"/>
      <c r="G7" s="1" t="s">
        <v>112</v>
      </c>
      <c r="H7" s="1" t="s">
        <v>118</v>
      </c>
      <c r="I7" s="6"/>
      <c r="J7" s="6"/>
      <c r="K7" s="18">
        <v>43577</v>
      </c>
      <c r="L7" s="1">
        <v>3</v>
      </c>
      <c r="M7" s="1">
        <f t="shared" si="0"/>
        <v>43667</v>
      </c>
      <c r="N7" s="6"/>
      <c r="O7" s="6">
        <v>6.7</v>
      </c>
      <c r="P7" s="1" t="s">
        <v>181</v>
      </c>
      <c r="Q7" s="1" t="s">
        <v>192</v>
      </c>
      <c r="R7" s="3" t="s">
        <v>199</v>
      </c>
      <c r="S7" s="1" t="s">
        <v>215</v>
      </c>
      <c r="T7" s="3" t="s">
        <v>276</v>
      </c>
      <c r="U7" s="1" t="s">
        <v>320</v>
      </c>
      <c r="V7" s="1">
        <v>15010862429</v>
      </c>
      <c r="W7" s="1" t="s">
        <v>376</v>
      </c>
      <c r="X7" s="1" t="s">
        <v>436</v>
      </c>
      <c r="Y7" s="3" t="s">
        <v>467</v>
      </c>
      <c r="Z7" s="6"/>
      <c r="AA7" s="6"/>
      <c r="AB7" s="1" t="s">
        <v>476</v>
      </c>
      <c r="AC7" s="13">
        <v>40711</v>
      </c>
      <c r="AD7" s="14" t="s">
        <v>488</v>
      </c>
      <c r="AE7" s="14" t="s">
        <v>550</v>
      </c>
      <c r="AF7" s="1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x14ac:dyDescent="0.25">
      <c r="A8" s="19" t="s">
        <v>50</v>
      </c>
      <c r="B8" s="6" t="s">
        <v>109</v>
      </c>
      <c r="C8" s="8" t="s">
        <v>110</v>
      </c>
      <c r="D8" s="9" t="s">
        <v>111</v>
      </c>
      <c r="E8" s="6">
        <v>37</v>
      </c>
      <c r="F8" s="6"/>
      <c r="G8" s="1" t="s">
        <v>112</v>
      </c>
      <c r="H8" s="2" t="s">
        <v>119</v>
      </c>
      <c r="I8" s="6"/>
      <c r="J8" s="6"/>
      <c r="K8" s="20">
        <v>44461</v>
      </c>
      <c r="L8" s="2">
        <v>6</v>
      </c>
      <c r="M8" s="1">
        <f t="shared" si="0"/>
        <v>44641</v>
      </c>
      <c r="N8" s="6"/>
      <c r="O8" s="6">
        <v>4.2</v>
      </c>
      <c r="P8" s="1" t="s">
        <v>181</v>
      </c>
      <c r="Q8" s="2" t="s">
        <v>192</v>
      </c>
      <c r="R8" s="21" t="s">
        <v>200</v>
      </c>
      <c r="S8" s="2" t="s">
        <v>216</v>
      </c>
      <c r="T8" s="21" t="s">
        <v>277</v>
      </c>
      <c r="U8" s="22" t="s">
        <v>321</v>
      </c>
      <c r="V8" s="1">
        <v>13911861845</v>
      </c>
      <c r="W8" s="2" t="s">
        <v>377</v>
      </c>
      <c r="X8" s="1">
        <v>13801094266</v>
      </c>
      <c r="Y8" s="3" t="s">
        <v>470</v>
      </c>
      <c r="Z8" s="6"/>
      <c r="AA8" s="6"/>
      <c r="AB8" s="2" t="s">
        <v>475</v>
      </c>
      <c r="AC8" s="2">
        <v>40359</v>
      </c>
      <c r="AD8" s="2" t="s">
        <v>489</v>
      </c>
      <c r="AE8" s="2" t="s">
        <v>551</v>
      </c>
      <c r="AF8" s="1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5">
      <c r="A9" s="7" t="s">
        <v>51</v>
      </c>
      <c r="B9" s="6" t="s">
        <v>109</v>
      </c>
      <c r="C9" s="8" t="s">
        <v>110</v>
      </c>
      <c r="D9" s="9" t="s">
        <v>111</v>
      </c>
      <c r="E9" s="6">
        <v>24</v>
      </c>
      <c r="F9" s="6"/>
      <c r="G9" s="1" t="s">
        <v>112</v>
      </c>
      <c r="H9" s="1" t="s">
        <v>120</v>
      </c>
      <c r="I9" s="6"/>
      <c r="J9" s="6"/>
      <c r="K9" s="10">
        <v>45868</v>
      </c>
      <c r="L9" s="1">
        <v>6</v>
      </c>
      <c r="M9" s="1">
        <f t="shared" si="0"/>
        <v>46051</v>
      </c>
      <c r="N9" s="6"/>
      <c r="O9" s="6">
        <v>0.4</v>
      </c>
      <c r="P9" s="1" t="s">
        <v>181</v>
      </c>
      <c r="Q9" s="1" t="s">
        <v>191</v>
      </c>
      <c r="R9" s="3" t="s">
        <v>201</v>
      </c>
      <c r="S9" s="1" t="s">
        <v>217</v>
      </c>
      <c r="T9" s="1" t="s">
        <v>278</v>
      </c>
      <c r="U9" s="12" t="s">
        <v>322</v>
      </c>
      <c r="V9" s="1">
        <v>18532638107</v>
      </c>
      <c r="W9" s="1" t="s">
        <v>378</v>
      </c>
      <c r="X9" s="1">
        <v>18835098301</v>
      </c>
      <c r="Y9" s="1" t="s">
        <v>468</v>
      </c>
      <c r="Z9" s="6"/>
      <c r="AA9" s="6"/>
      <c r="AB9" s="1" t="s">
        <v>477</v>
      </c>
      <c r="AC9" s="13">
        <v>45107</v>
      </c>
      <c r="AD9" s="14" t="s">
        <v>490</v>
      </c>
      <c r="AE9" s="14" t="s">
        <v>552</v>
      </c>
      <c r="AF9" s="1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5">
      <c r="A10" s="15" t="s">
        <v>52</v>
      </c>
      <c r="B10" s="6" t="s">
        <v>109</v>
      </c>
      <c r="C10" s="8" t="s">
        <v>110</v>
      </c>
      <c r="D10" s="9" t="s">
        <v>111</v>
      </c>
      <c r="E10" s="6">
        <v>44</v>
      </c>
      <c r="F10" s="6"/>
      <c r="G10" s="1" t="s">
        <v>112</v>
      </c>
      <c r="H10" s="3" t="s">
        <v>121</v>
      </c>
      <c r="I10" s="6"/>
      <c r="J10" s="6"/>
      <c r="K10" s="10">
        <v>43525</v>
      </c>
      <c r="L10" s="3">
        <v>3</v>
      </c>
      <c r="M10" s="1">
        <f t="shared" si="0"/>
        <v>43616</v>
      </c>
      <c r="N10" s="6"/>
      <c r="O10" s="6">
        <v>6.9</v>
      </c>
      <c r="P10" s="1" t="s">
        <v>182</v>
      </c>
      <c r="Q10" s="3" t="s">
        <v>192</v>
      </c>
      <c r="R10" s="21" t="s">
        <v>200</v>
      </c>
      <c r="S10" s="3" t="s">
        <v>218</v>
      </c>
      <c r="T10" s="3"/>
      <c r="U10" s="17" t="s">
        <v>323</v>
      </c>
      <c r="V10" s="1">
        <v>17332370837</v>
      </c>
      <c r="W10" s="1" t="s">
        <v>379</v>
      </c>
      <c r="X10" s="1" t="s">
        <v>437</v>
      </c>
      <c r="Y10" s="3" t="s">
        <v>467</v>
      </c>
      <c r="Z10" s="6"/>
      <c r="AA10" s="6"/>
      <c r="AB10" s="3" t="s">
        <v>475</v>
      </c>
      <c r="AC10" s="13">
        <v>38504</v>
      </c>
      <c r="AD10" s="14" t="s">
        <v>491</v>
      </c>
      <c r="AE10" s="14" t="s">
        <v>553</v>
      </c>
      <c r="AF10" s="1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x14ac:dyDescent="0.25">
      <c r="A11" s="19" t="s">
        <v>53</v>
      </c>
      <c r="B11" s="6" t="s">
        <v>109</v>
      </c>
      <c r="C11" s="8" t="s">
        <v>110</v>
      </c>
      <c r="D11" s="9" t="s">
        <v>111</v>
      </c>
      <c r="E11" s="6">
        <v>40</v>
      </c>
      <c r="F11" s="6"/>
      <c r="G11" s="1" t="s">
        <v>112</v>
      </c>
      <c r="H11" s="2" t="s">
        <v>122</v>
      </c>
      <c r="I11" s="6"/>
      <c r="J11" s="6"/>
      <c r="K11" s="20">
        <v>45019</v>
      </c>
      <c r="L11" s="2">
        <v>6</v>
      </c>
      <c r="M11" s="1">
        <f t="shared" si="0"/>
        <v>45201</v>
      </c>
      <c r="N11" s="6"/>
      <c r="O11" s="6">
        <v>2.8</v>
      </c>
      <c r="P11" s="3" t="s">
        <v>183</v>
      </c>
      <c r="Q11" s="2" t="s">
        <v>194</v>
      </c>
      <c r="R11" s="21" t="s">
        <v>202</v>
      </c>
      <c r="S11" s="2" t="s">
        <v>219</v>
      </c>
      <c r="T11" s="2" t="s">
        <v>279</v>
      </c>
      <c r="U11" s="22" t="s">
        <v>324</v>
      </c>
      <c r="V11" s="1">
        <v>13820673125</v>
      </c>
      <c r="W11" s="2" t="s">
        <v>380</v>
      </c>
      <c r="X11" s="1">
        <v>13821392677</v>
      </c>
      <c r="Y11" s="1" t="s">
        <v>471</v>
      </c>
      <c r="Z11" s="6"/>
      <c r="AA11" s="6"/>
      <c r="AB11" s="2" t="s">
        <v>478</v>
      </c>
      <c r="AC11" s="2">
        <v>42551</v>
      </c>
      <c r="AD11" s="2" t="s">
        <v>492</v>
      </c>
      <c r="AE11" s="2" t="s">
        <v>554</v>
      </c>
      <c r="AF11" s="2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 spans="1:45" x14ac:dyDescent="0.25">
      <c r="A12" s="7" t="s">
        <v>54</v>
      </c>
      <c r="B12" s="6" t="s">
        <v>109</v>
      </c>
      <c r="C12" s="8" t="s">
        <v>110</v>
      </c>
      <c r="D12" s="9" t="s">
        <v>111</v>
      </c>
      <c r="E12" s="6">
        <v>35</v>
      </c>
      <c r="F12" s="6"/>
      <c r="G12" s="1" t="s">
        <v>112</v>
      </c>
      <c r="H12" s="1" t="s">
        <v>123</v>
      </c>
      <c r="I12" s="6"/>
      <c r="J12" s="6"/>
      <c r="K12" s="10">
        <v>43521</v>
      </c>
      <c r="L12" s="1">
        <v>3</v>
      </c>
      <c r="M12" s="1">
        <f t="shared" si="0"/>
        <v>43609</v>
      </c>
      <c r="N12" s="6"/>
      <c r="O12" s="6">
        <v>6.9</v>
      </c>
      <c r="P12" s="3" t="s">
        <v>179</v>
      </c>
      <c r="Q12" s="1" t="s">
        <v>192</v>
      </c>
      <c r="R12" s="3" t="s">
        <v>199</v>
      </c>
      <c r="S12" s="1" t="s">
        <v>220</v>
      </c>
      <c r="T12" s="3" t="s">
        <v>280</v>
      </c>
      <c r="U12" s="1" t="s">
        <v>325</v>
      </c>
      <c r="V12" s="1">
        <v>15701587853</v>
      </c>
      <c r="W12" s="1" t="s">
        <v>381</v>
      </c>
      <c r="X12" s="1">
        <v>18618190165</v>
      </c>
      <c r="Y12" s="3" t="s">
        <v>467</v>
      </c>
      <c r="Z12" s="6"/>
      <c r="AA12" s="6"/>
      <c r="AB12" s="1" t="s">
        <v>476</v>
      </c>
      <c r="AC12" s="13">
        <v>41091</v>
      </c>
      <c r="AD12" s="13" t="s">
        <v>493</v>
      </c>
      <c r="AE12" s="14" t="s">
        <v>555</v>
      </c>
      <c r="AF12" s="1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x14ac:dyDescent="0.25">
      <c r="A13" s="7" t="s">
        <v>55</v>
      </c>
      <c r="B13" s="6" t="s">
        <v>109</v>
      </c>
      <c r="C13" s="8" t="s">
        <v>110</v>
      </c>
      <c r="D13" s="9" t="s">
        <v>111</v>
      </c>
      <c r="E13" s="6">
        <v>25</v>
      </c>
      <c r="F13" s="6"/>
      <c r="G13" s="1" t="s">
        <v>112</v>
      </c>
      <c r="H13" s="1" t="s">
        <v>124</v>
      </c>
      <c r="I13" s="6"/>
      <c r="J13" s="6"/>
      <c r="K13" s="10">
        <v>45772</v>
      </c>
      <c r="L13" s="1">
        <v>6</v>
      </c>
      <c r="M13" s="1">
        <f t="shared" si="0"/>
        <v>45954</v>
      </c>
      <c r="N13" s="6"/>
      <c r="O13" s="6">
        <v>0.7</v>
      </c>
      <c r="P13" s="3" t="s">
        <v>179</v>
      </c>
      <c r="Q13" s="1" t="s">
        <v>194</v>
      </c>
      <c r="R13" s="3" t="s">
        <v>201</v>
      </c>
      <c r="S13" s="1" t="s">
        <v>221</v>
      </c>
      <c r="T13" s="3" t="s">
        <v>281</v>
      </c>
      <c r="U13" s="12" t="s">
        <v>326</v>
      </c>
      <c r="V13" s="1">
        <v>19564487220</v>
      </c>
      <c r="W13" s="1" t="s">
        <v>382</v>
      </c>
      <c r="X13" s="1">
        <v>13366159185</v>
      </c>
      <c r="Y13" s="1" t="s">
        <v>468</v>
      </c>
      <c r="Z13" s="6"/>
      <c r="AA13" s="6"/>
      <c r="AB13" s="1" t="s">
        <v>479</v>
      </c>
      <c r="AC13" s="13">
        <v>45107</v>
      </c>
      <c r="AD13" s="14" t="s">
        <v>494</v>
      </c>
      <c r="AE13" s="14" t="s">
        <v>556</v>
      </c>
      <c r="AF13" s="1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x14ac:dyDescent="0.25">
      <c r="A14" s="7" t="s">
        <v>56</v>
      </c>
      <c r="B14" s="6" t="s">
        <v>109</v>
      </c>
      <c r="C14" s="8" t="s">
        <v>110</v>
      </c>
      <c r="D14" s="9" t="s">
        <v>111</v>
      </c>
      <c r="E14" s="6">
        <v>30</v>
      </c>
      <c r="F14" s="6"/>
      <c r="G14" s="1" t="s">
        <v>112</v>
      </c>
      <c r="H14" s="1" t="s">
        <v>125</v>
      </c>
      <c r="I14" s="6"/>
      <c r="J14" s="6"/>
      <c r="K14" s="10">
        <v>44343</v>
      </c>
      <c r="L14" s="1">
        <v>6</v>
      </c>
      <c r="M14" s="1">
        <f t="shared" si="0"/>
        <v>44526</v>
      </c>
      <c r="N14" s="6"/>
      <c r="O14" s="6">
        <v>4.5999999999999996</v>
      </c>
      <c r="P14" s="3" t="s">
        <v>183</v>
      </c>
      <c r="Q14" s="1" t="s">
        <v>191</v>
      </c>
      <c r="R14" s="3" t="s">
        <v>203</v>
      </c>
      <c r="S14" s="1" t="s">
        <v>222</v>
      </c>
      <c r="T14" s="1" t="s">
        <v>282</v>
      </c>
      <c r="U14" s="23" t="s">
        <v>327</v>
      </c>
      <c r="V14" s="1">
        <v>15201121056</v>
      </c>
      <c r="W14" s="24" t="s">
        <v>383</v>
      </c>
      <c r="X14" s="1" t="s">
        <v>438</v>
      </c>
      <c r="Y14" s="1" t="s">
        <v>467</v>
      </c>
      <c r="Z14" s="6"/>
      <c r="AA14" s="6"/>
      <c r="AB14" s="3" t="s">
        <v>479</v>
      </c>
      <c r="AC14" s="13">
        <v>44013</v>
      </c>
      <c r="AD14" s="25" t="s">
        <v>495</v>
      </c>
      <c r="AE14" s="25" t="s">
        <v>557</v>
      </c>
      <c r="AF14" s="1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x14ac:dyDescent="0.25">
      <c r="A15" s="7" t="s">
        <v>57</v>
      </c>
      <c r="B15" s="6" t="s">
        <v>108</v>
      </c>
      <c r="C15" s="8" t="s">
        <v>110</v>
      </c>
      <c r="D15" s="9" t="s">
        <v>111</v>
      </c>
      <c r="E15" s="6">
        <v>25</v>
      </c>
      <c r="F15" s="6"/>
      <c r="G15" s="1" t="s">
        <v>112</v>
      </c>
      <c r="H15" s="1" t="s">
        <v>126</v>
      </c>
      <c r="I15" s="6"/>
      <c r="J15" s="6"/>
      <c r="K15" s="16">
        <v>45593</v>
      </c>
      <c r="L15" s="1">
        <v>6</v>
      </c>
      <c r="M15" s="1">
        <f t="shared" si="0"/>
        <v>45774</v>
      </c>
      <c r="N15" s="6"/>
      <c r="O15" s="6">
        <v>1.1000000000000001</v>
      </c>
      <c r="P15" s="3" t="s">
        <v>179</v>
      </c>
      <c r="Q15" s="1" t="s">
        <v>193</v>
      </c>
      <c r="R15" s="3" t="s">
        <v>198</v>
      </c>
      <c r="S15" s="3" t="s">
        <v>223</v>
      </c>
      <c r="T15" s="3" t="s">
        <v>283</v>
      </c>
      <c r="U15" s="12" t="s">
        <v>328</v>
      </c>
      <c r="V15" s="1">
        <v>18519652808</v>
      </c>
      <c r="W15" s="1" t="s">
        <v>384</v>
      </c>
      <c r="X15" s="1">
        <v>15611033021</v>
      </c>
      <c r="Y15" s="3" t="s">
        <v>468</v>
      </c>
      <c r="Z15" s="6"/>
      <c r="AA15" s="6"/>
      <c r="AB15" s="1" t="s">
        <v>480</v>
      </c>
      <c r="AC15" s="1">
        <v>45473</v>
      </c>
      <c r="AD15" s="3" t="s">
        <v>496</v>
      </c>
      <c r="AE15" s="3" t="s">
        <v>558</v>
      </c>
      <c r="AF15" s="3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x14ac:dyDescent="0.25">
      <c r="A16" s="7" t="s">
        <v>58</v>
      </c>
      <c r="B16" s="6" t="s">
        <v>109</v>
      </c>
      <c r="C16" s="8" t="s">
        <v>110</v>
      </c>
      <c r="D16" s="9" t="s">
        <v>111</v>
      </c>
      <c r="E16" s="6">
        <v>38</v>
      </c>
      <c r="F16" s="6"/>
      <c r="G16" s="1" t="s">
        <v>112</v>
      </c>
      <c r="H16" s="1" t="s">
        <v>127</v>
      </c>
      <c r="I16" s="6"/>
      <c r="J16" s="6"/>
      <c r="K16" s="10">
        <v>42705</v>
      </c>
      <c r="L16" s="26">
        <v>2</v>
      </c>
      <c r="M16" s="1">
        <f t="shared" si="0"/>
        <v>42766</v>
      </c>
      <c r="N16" s="6"/>
      <c r="O16" s="6">
        <v>9</v>
      </c>
      <c r="P16" s="3" t="s">
        <v>184</v>
      </c>
      <c r="Q16" s="1" t="s">
        <v>192</v>
      </c>
      <c r="R16" s="3" t="s">
        <v>198</v>
      </c>
      <c r="S16" s="1" t="s">
        <v>224</v>
      </c>
      <c r="T16" s="3"/>
      <c r="U16" s="1" t="s">
        <v>329</v>
      </c>
      <c r="V16" s="1">
        <v>15822272949</v>
      </c>
      <c r="W16" s="1" t="s">
        <v>385</v>
      </c>
      <c r="X16" s="1" t="s">
        <v>439</v>
      </c>
      <c r="Y16" s="3" t="s">
        <v>472</v>
      </c>
      <c r="Z16" s="6"/>
      <c r="AA16" s="6"/>
      <c r="AB16" s="1" t="s">
        <v>475</v>
      </c>
      <c r="AC16" s="13">
        <v>40725</v>
      </c>
      <c r="AD16" s="14" t="s">
        <v>497</v>
      </c>
      <c r="AE16" s="14" t="s">
        <v>559</v>
      </c>
      <c r="AF16" s="1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x14ac:dyDescent="0.25">
      <c r="A17" s="19" t="s">
        <v>59</v>
      </c>
      <c r="B17" s="6" t="s">
        <v>109</v>
      </c>
      <c r="C17" s="8" t="s">
        <v>110</v>
      </c>
      <c r="D17" s="9" t="s">
        <v>111</v>
      </c>
      <c r="E17" s="6">
        <v>24</v>
      </c>
      <c r="F17" s="6"/>
      <c r="G17" s="1" t="s">
        <v>112</v>
      </c>
      <c r="H17" s="2" t="s">
        <v>128</v>
      </c>
      <c r="I17" s="6"/>
      <c r="J17" s="6"/>
      <c r="K17" s="20">
        <v>45068</v>
      </c>
      <c r="L17" s="2">
        <v>6</v>
      </c>
      <c r="M17" s="1">
        <f t="shared" si="0"/>
        <v>45251</v>
      </c>
      <c r="N17" s="6"/>
      <c r="O17" s="6">
        <v>2.6</v>
      </c>
      <c r="P17" s="3" t="s">
        <v>184</v>
      </c>
      <c r="Q17" s="2" t="s">
        <v>194</v>
      </c>
      <c r="R17" s="21" t="s">
        <v>201</v>
      </c>
      <c r="S17" s="2" t="s">
        <v>225</v>
      </c>
      <c r="T17" s="2" t="s">
        <v>284</v>
      </c>
      <c r="U17" s="22" t="s">
        <v>330</v>
      </c>
      <c r="V17" s="1">
        <v>16603370262</v>
      </c>
      <c r="W17" s="2" t="s">
        <v>386</v>
      </c>
      <c r="X17" s="1" t="s">
        <v>440</v>
      </c>
      <c r="Y17" s="1" t="s">
        <v>471</v>
      </c>
      <c r="Z17" s="6"/>
      <c r="AA17" s="6"/>
      <c r="AB17" s="2" t="s">
        <v>481</v>
      </c>
      <c r="AC17" s="2">
        <v>44742</v>
      </c>
      <c r="AD17" s="2" t="s">
        <v>498</v>
      </c>
      <c r="AE17" s="2" t="s">
        <v>560</v>
      </c>
      <c r="AF17" s="2" t="s">
        <v>595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45" x14ac:dyDescent="0.25">
      <c r="A18" s="15" t="s">
        <v>60</v>
      </c>
      <c r="B18" s="6" t="s">
        <v>109</v>
      </c>
      <c r="C18" s="8" t="s">
        <v>110</v>
      </c>
      <c r="D18" s="9" t="s">
        <v>111</v>
      </c>
      <c r="E18" s="6">
        <v>34</v>
      </c>
      <c r="F18" s="6"/>
      <c r="G18" s="1" t="s">
        <v>112</v>
      </c>
      <c r="H18" s="1" t="s">
        <v>129</v>
      </c>
      <c r="I18" s="6"/>
      <c r="J18" s="6"/>
      <c r="K18" s="16">
        <v>45446</v>
      </c>
      <c r="L18" s="1">
        <v>6</v>
      </c>
      <c r="M18" s="1">
        <f t="shared" si="0"/>
        <v>45628</v>
      </c>
      <c r="N18" s="6"/>
      <c r="O18" s="6">
        <v>1.6</v>
      </c>
      <c r="P18" s="3" t="s">
        <v>184</v>
      </c>
      <c r="Q18" s="1" t="s">
        <v>192</v>
      </c>
      <c r="R18" s="3" t="s">
        <v>198</v>
      </c>
      <c r="S18" s="3" t="s">
        <v>226</v>
      </c>
      <c r="T18" s="3" t="s">
        <v>285</v>
      </c>
      <c r="U18" s="12" t="s">
        <v>331</v>
      </c>
      <c r="V18" s="1">
        <v>13602086204</v>
      </c>
      <c r="W18" s="1" t="s">
        <v>387</v>
      </c>
      <c r="X18" s="1">
        <v>13602086204</v>
      </c>
      <c r="Y18" s="3" t="s">
        <v>469</v>
      </c>
      <c r="Z18" s="6"/>
      <c r="AA18" s="6"/>
      <c r="AB18" s="1" t="s">
        <v>476</v>
      </c>
      <c r="AC18" s="1">
        <v>41090</v>
      </c>
      <c r="AD18" s="1" t="s">
        <v>499</v>
      </c>
      <c r="AE18" s="1" t="s">
        <v>561</v>
      </c>
      <c r="AF18" s="3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x14ac:dyDescent="0.25">
      <c r="A19" s="7" t="s">
        <v>61</v>
      </c>
      <c r="B19" s="6" t="s">
        <v>109</v>
      </c>
      <c r="C19" s="8" t="s">
        <v>110</v>
      </c>
      <c r="D19" s="9" t="s">
        <v>111</v>
      </c>
      <c r="E19" s="6">
        <v>41</v>
      </c>
      <c r="F19" s="6"/>
      <c r="G19" s="1" t="s">
        <v>112</v>
      </c>
      <c r="H19" s="1" t="s">
        <v>130</v>
      </c>
      <c r="I19" s="6"/>
      <c r="J19" s="6"/>
      <c r="K19" s="10">
        <v>43690</v>
      </c>
      <c r="L19" s="1">
        <v>3</v>
      </c>
      <c r="M19" s="1">
        <f t="shared" si="0"/>
        <v>43781</v>
      </c>
      <c r="N19" s="6"/>
      <c r="O19" s="6">
        <v>6.4</v>
      </c>
      <c r="P19" s="3" t="s">
        <v>180</v>
      </c>
      <c r="Q19" s="1" t="s">
        <v>192</v>
      </c>
      <c r="R19" s="3" t="s">
        <v>200</v>
      </c>
      <c r="S19" s="1" t="s">
        <v>227</v>
      </c>
      <c r="T19" s="3"/>
      <c r="U19" s="17" t="s">
        <v>332</v>
      </c>
      <c r="V19" s="1">
        <v>13931869662</v>
      </c>
      <c r="W19" s="1" t="s">
        <v>388</v>
      </c>
      <c r="X19" s="1" t="s">
        <v>441</v>
      </c>
      <c r="Y19" s="3" t="s">
        <v>467</v>
      </c>
      <c r="Z19" s="6"/>
      <c r="AA19" s="6"/>
      <c r="AB19" s="1" t="s">
        <v>475</v>
      </c>
      <c r="AC19" s="13">
        <v>39264</v>
      </c>
      <c r="AD19" s="14" t="s">
        <v>487</v>
      </c>
      <c r="AE19" s="14" t="s">
        <v>559</v>
      </c>
      <c r="AF19" s="1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45" x14ac:dyDescent="0.25">
      <c r="A20" s="7" t="s">
        <v>62</v>
      </c>
      <c r="B20" s="6" t="s">
        <v>109</v>
      </c>
      <c r="C20" s="8" t="s">
        <v>110</v>
      </c>
      <c r="D20" s="9" t="s">
        <v>111</v>
      </c>
      <c r="E20" s="6">
        <v>36</v>
      </c>
      <c r="F20" s="6"/>
      <c r="G20" s="1" t="s">
        <v>112</v>
      </c>
      <c r="H20" s="1" t="s">
        <v>131</v>
      </c>
      <c r="I20" s="6"/>
      <c r="J20" s="6"/>
      <c r="K20" s="10">
        <v>43606</v>
      </c>
      <c r="L20" s="1">
        <v>3</v>
      </c>
      <c r="M20" s="1">
        <f t="shared" si="0"/>
        <v>43697</v>
      </c>
      <c r="N20" s="6"/>
      <c r="O20" s="6">
        <v>6.6</v>
      </c>
      <c r="P20" s="3" t="s">
        <v>185</v>
      </c>
      <c r="Q20" s="1" t="s">
        <v>192</v>
      </c>
      <c r="R20" s="3" t="s">
        <v>204</v>
      </c>
      <c r="S20" s="1" t="s">
        <v>228</v>
      </c>
      <c r="T20" s="3"/>
      <c r="U20" s="1" t="s">
        <v>333</v>
      </c>
      <c r="V20" s="1">
        <v>15514089918</v>
      </c>
      <c r="W20" s="1" t="s">
        <v>389</v>
      </c>
      <c r="X20" s="1" t="s">
        <v>442</v>
      </c>
      <c r="Y20" s="3" t="s">
        <v>467</v>
      </c>
      <c r="Z20" s="6"/>
      <c r="AA20" s="6"/>
      <c r="AB20" s="1" t="s">
        <v>475</v>
      </c>
      <c r="AC20" s="13">
        <v>2013.7</v>
      </c>
      <c r="AD20" s="14" t="s">
        <v>500</v>
      </c>
      <c r="AE20" s="14" t="s">
        <v>549</v>
      </c>
      <c r="AF20" s="1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 spans="1:45" x14ac:dyDescent="0.25">
      <c r="A21" s="7" t="s">
        <v>63</v>
      </c>
      <c r="B21" s="6" t="s">
        <v>109</v>
      </c>
      <c r="C21" s="8" t="s">
        <v>110</v>
      </c>
      <c r="D21" s="9" t="s">
        <v>111</v>
      </c>
      <c r="E21" s="6">
        <v>40</v>
      </c>
      <c r="F21" s="6"/>
      <c r="G21" s="1" t="s">
        <v>112</v>
      </c>
      <c r="H21" s="1" t="s">
        <v>132</v>
      </c>
      <c r="I21" s="6"/>
      <c r="J21" s="6"/>
      <c r="K21" s="10">
        <v>43902</v>
      </c>
      <c r="L21" s="1">
        <v>6</v>
      </c>
      <c r="M21" s="1">
        <f t="shared" si="0"/>
        <v>44085</v>
      </c>
      <c r="N21" s="6"/>
      <c r="O21" s="6">
        <v>5.9</v>
      </c>
      <c r="P21" s="3" t="s">
        <v>186</v>
      </c>
      <c r="Q21" s="1" t="s">
        <v>191</v>
      </c>
      <c r="R21" s="3" t="s">
        <v>205</v>
      </c>
      <c r="S21" s="1" t="s">
        <v>229</v>
      </c>
      <c r="T21" s="1" t="s">
        <v>229</v>
      </c>
      <c r="U21" s="12" t="s">
        <v>334</v>
      </c>
      <c r="V21" s="1">
        <v>18005748813</v>
      </c>
      <c r="W21" s="24" t="s">
        <v>390</v>
      </c>
      <c r="X21" s="1" t="s">
        <v>443</v>
      </c>
      <c r="Y21" s="3" t="s">
        <v>467</v>
      </c>
      <c r="Z21" s="6"/>
      <c r="AA21" s="6"/>
      <c r="AB21" s="1" t="s">
        <v>479</v>
      </c>
      <c r="AC21" s="13">
        <v>39263</v>
      </c>
      <c r="AD21" s="24" t="s">
        <v>501</v>
      </c>
      <c r="AE21" s="24" t="s">
        <v>557</v>
      </c>
      <c r="AF21" s="1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 spans="1:45" x14ac:dyDescent="0.25">
      <c r="A22" s="7" t="s">
        <v>64</v>
      </c>
      <c r="B22" s="6" t="s">
        <v>108</v>
      </c>
      <c r="C22" s="8" t="s">
        <v>110</v>
      </c>
      <c r="D22" s="9" t="s">
        <v>111</v>
      </c>
      <c r="E22" s="6">
        <v>32</v>
      </c>
      <c r="F22" s="6"/>
      <c r="G22" s="1" t="s">
        <v>112</v>
      </c>
      <c r="H22" s="1" t="s">
        <v>133</v>
      </c>
      <c r="I22" s="6"/>
      <c r="J22" s="6"/>
      <c r="K22" s="10">
        <v>42622</v>
      </c>
      <c r="L22" s="1">
        <v>0</v>
      </c>
      <c r="M22" s="11">
        <f>IF(K22="","",DATE(YEAR(K22),MONTH(K22)+L22,DAY(K22)))</f>
        <v>42622</v>
      </c>
      <c r="N22" s="6"/>
      <c r="O22" s="6">
        <v>9.3000000000000007</v>
      </c>
      <c r="P22" s="3" t="s">
        <v>179</v>
      </c>
      <c r="Q22" s="1" t="s">
        <v>195</v>
      </c>
      <c r="R22" s="3" t="s">
        <v>199</v>
      </c>
      <c r="S22" s="1" t="s">
        <v>230</v>
      </c>
      <c r="T22" s="3" t="s">
        <v>286</v>
      </c>
      <c r="U22" s="1" t="s">
        <v>335</v>
      </c>
      <c r="V22" s="1">
        <v>15652902525</v>
      </c>
      <c r="W22" s="1" t="s">
        <v>391</v>
      </c>
      <c r="X22" s="1" t="s">
        <v>444</v>
      </c>
      <c r="Y22" s="3" t="s">
        <v>472</v>
      </c>
      <c r="Z22" s="6"/>
      <c r="AA22" s="6"/>
      <c r="AB22" s="1" t="s">
        <v>475</v>
      </c>
      <c r="AC22" s="27">
        <v>42552</v>
      </c>
      <c r="AD22" s="14" t="s">
        <v>502</v>
      </c>
      <c r="AE22" s="14" t="s">
        <v>562</v>
      </c>
      <c r="AF22" s="1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 spans="1:45" x14ac:dyDescent="0.25">
      <c r="A23" s="7" t="s">
        <v>65</v>
      </c>
      <c r="B23" s="6" t="s">
        <v>108</v>
      </c>
      <c r="C23" s="8" t="s">
        <v>110</v>
      </c>
      <c r="D23" s="9" t="s">
        <v>111</v>
      </c>
      <c r="E23" s="6">
        <v>27</v>
      </c>
      <c r="F23" s="6"/>
      <c r="G23" s="1" t="s">
        <v>112</v>
      </c>
      <c r="H23" s="1" t="s">
        <v>134</v>
      </c>
      <c r="I23" s="6"/>
      <c r="J23" s="6"/>
      <c r="K23" s="10">
        <v>44167</v>
      </c>
      <c r="L23" s="1">
        <v>6</v>
      </c>
      <c r="M23" s="1">
        <f>IF(K23="","",DATE(YEAR(K23),MONTH(K23)+L23,DAY(K23)-1))</f>
        <v>44348</v>
      </c>
      <c r="N23" s="6"/>
      <c r="O23" s="6">
        <v>5</v>
      </c>
      <c r="P23" s="3" t="s">
        <v>178</v>
      </c>
      <c r="Q23" s="1" t="s">
        <v>192</v>
      </c>
      <c r="R23" s="3" t="s">
        <v>203</v>
      </c>
      <c r="S23" s="1" t="s">
        <v>231</v>
      </c>
      <c r="T23" s="1" t="s">
        <v>287</v>
      </c>
      <c r="U23" s="23" t="s">
        <v>336</v>
      </c>
      <c r="V23" s="1">
        <v>15501215667</v>
      </c>
      <c r="W23" s="24" t="s">
        <v>392</v>
      </c>
      <c r="X23" s="1" t="s">
        <v>445</v>
      </c>
      <c r="Y23" s="1" t="s">
        <v>468</v>
      </c>
      <c r="Z23" s="6"/>
      <c r="AA23" s="6"/>
      <c r="AB23" s="3" t="s">
        <v>475</v>
      </c>
      <c r="AC23" s="13">
        <v>42185</v>
      </c>
      <c r="AD23" s="24" t="s">
        <v>503</v>
      </c>
      <c r="AE23" s="24" t="s">
        <v>563</v>
      </c>
      <c r="AF23" s="1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 spans="1:45" x14ac:dyDescent="0.25">
      <c r="A24" s="7" t="s">
        <v>66</v>
      </c>
      <c r="B24" s="6" t="s">
        <v>108</v>
      </c>
      <c r="C24" s="8" t="s">
        <v>110</v>
      </c>
      <c r="D24" s="9" t="s">
        <v>111</v>
      </c>
      <c r="E24" s="6">
        <v>33</v>
      </c>
      <c r="F24" s="6"/>
      <c r="G24" s="1" t="s">
        <v>112</v>
      </c>
      <c r="H24" s="1" t="s">
        <v>135</v>
      </c>
      <c r="I24" s="6"/>
      <c r="J24" s="6"/>
      <c r="K24" s="10">
        <v>44326</v>
      </c>
      <c r="L24" s="1">
        <v>6</v>
      </c>
      <c r="M24" s="1">
        <f>IF(K24="","",DATE(YEAR(K24),MONTH(K24)+L24,DAY(K24)-1))</f>
        <v>44509</v>
      </c>
      <c r="N24" s="6"/>
      <c r="O24" s="6">
        <v>4.7</v>
      </c>
      <c r="P24" s="3" t="s">
        <v>183</v>
      </c>
      <c r="Q24" s="1" t="s">
        <v>191</v>
      </c>
      <c r="R24" s="3" t="s">
        <v>203</v>
      </c>
      <c r="S24" s="1" t="s">
        <v>232</v>
      </c>
      <c r="T24" s="1" t="s">
        <v>288</v>
      </c>
      <c r="U24" s="23" t="s">
        <v>337</v>
      </c>
      <c r="V24" s="1">
        <v>18511178311</v>
      </c>
      <c r="W24" s="24" t="s">
        <v>393</v>
      </c>
      <c r="X24" s="1" t="s">
        <v>446</v>
      </c>
      <c r="Y24" s="1" t="s">
        <v>473</v>
      </c>
      <c r="Z24" s="6"/>
      <c r="AA24" s="6"/>
      <c r="AB24" s="3" t="s">
        <v>476</v>
      </c>
      <c r="AC24" s="13">
        <v>41456</v>
      </c>
      <c r="AD24" s="25" t="s">
        <v>504</v>
      </c>
      <c r="AE24" s="25" t="s">
        <v>564</v>
      </c>
      <c r="AF24" s="1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 spans="1:45" x14ac:dyDescent="0.25">
      <c r="A25" s="7" t="s">
        <v>67</v>
      </c>
      <c r="B25" s="6" t="s">
        <v>109</v>
      </c>
      <c r="C25" s="8" t="s">
        <v>110</v>
      </c>
      <c r="D25" s="9" t="s">
        <v>111</v>
      </c>
      <c r="E25" s="6">
        <v>40</v>
      </c>
      <c r="F25" s="6"/>
      <c r="G25" s="1" t="s">
        <v>112</v>
      </c>
      <c r="H25" s="1" t="s">
        <v>136</v>
      </c>
      <c r="I25" s="6"/>
      <c r="J25" s="6"/>
      <c r="K25" s="16">
        <v>45538</v>
      </c>
      <c r="L25" s="1"/>
      <c r="M25" s="11">
        <f>IF(K25="","",DATE(YEAR(K25),MONTH(K25)+L25,DAY(K25)))</f>
        <v>45538</v>
      </c>
      <c r="N25" s="6"/>
      <c r="O25" s="6">
        <v>1.3</v>
      </c>
      <c r="P25" s="3" t="s">
        <v>181</v>
      </c>
      <c r="Q25" s="1" t="s">
        <v>194</v>
      </c>
      <c r="R25" s="3" t="s">
        <v>198</v>
      </c>
      <c r="S25" s="3" t="s">
        <v>233</v>
      </c>
      <c r="T25" s="3" t="s">
        <v>289</v>
      </c>
      <c r="U25" s="12" t="s">
        <v>338</v>
      </c>
      <c r="V25" s="1">
        <v>18190890826</v>
      </c>
      <c r="W25" s="1" t="s">
        <v>394</v>
      </c>
      <c r="X25" s="1">
        <v>18980715385</v>
      </c>
      <c r="Y25" s="3" t="s">
        <v>469</v>
      </c>
      <c r="Z25" s="6"/>
      <c r="AA25" s="6"/>
      <c r="AB25" s="1" t="s">
        <v>478</v>
      </c>
      <c r="AC25" s="1">
        <v>45462</v>
      </c>
      <c r="AD25" s="3" t="s">
        <v>505</v>
      </c>
      <c r="AE25" s="3" t="s">
        <v>565</v>
      </c>
      <c r="AF25" s="3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 spans="1:45" x14ac:dyDescent="0.25">
      <c r="A26" s="7" t="s">
        <v>68</v>
      </c>
      <c r="B26" s="6" t="s">
        <v>109</v>
      </c>
      <c r="C26" s="8" t="s">
        <v>110</v>
      </c>
      <c r="D26" s="9" t="s">
        <v>111</v>
      </c>
      <c r="E26" s="6">
        <v>36</v>
      </c>
      <c r="F26" s="6"/>
      <c r="G26" s="1" t="s">
        <v>112</v>
      </c>
      <c r="H26" s="1" t="s">
        <v>137</v>
      </c>
      <c r="I26" s="6"/>
      <c r="J26" s="6"/>
      <c r="K26" s="10">
        <v>43087</v>
      </c>
      <c r="L26" s="1">
        <v>3</v>
      </c>
      <c r="M26" s="1">
        <f t="shared" ref="M26:M32" si="1">IF(K26="","",DATE(YEAR(K26),MONTH(K26)+L26,DAY(K26)-1))</f>
        <v>43176</v>
      </c>
      <c r="N26" s="6"/>
      <c r="O26" s="6">
        <v>8</v>
      </c>
      <c r="P26" s="3" t="s">
        <v>179</v>
      </c>
      <c r="Q26" s="1" t="s">
        <v>192</v>
      </c>
      <c r="R26" s="3" t="s">
        <v>200</v>
      </c>
      <c r="S26" s="1" t="s">
        <v>234</v>
      </c>
      <c r="T26" s="3" t="s">
        <v>290</v>
      </c>
      <c r="U26" s="1" t="s">
        <v>339</v>
      </c>
      <c r="V26" s="1">
        <v>13810555666</v>
      </c>
      <c r="W26" s="1" t="s">
        <v>395</v>
      </c>
      <c r="X26" s="1" t="s">
        <v>447</v>
      </c>
      <c r="Y26" s="3" t="s">
        <v>472</v>
      </c>
      <c r="Z26" s="6"/>
      <c r="AA26" s="6"/>
      <c r="AB26" s="1" t="s">
        <v>482</v>
      </c>
      <c r="AC26" s="13">
        <v>41879</v>
      </c>
      <c r="AD26" s="14" t="s">
        <v>506</v>
      </c>
      <c r="AE26" s="14" t="s">
        <v>566</v>
      </c>
      <c r="AF26" s="1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 spans="1:45" x14ac:dyDescent="0.25">
      <c r="A27" s="19" t="s">
        <v>69</v>
      </c>
      <c r="B27" s="6" t="s">
        <v>109</v>
      </c>
      <c r="C27" s="8" t="s">
        <v>110</v>
      </c>
      <c r="D27" s="9" t="s">
        <v>111</v>
      </c>
      <c r="E27" s="6">
        <v>28</v>
      </c>
      <c r="F27" s="6"/>
      <c r="G27" s="1" t="s">
        <v>112</v>
      </c>
      <c r="H27" s="2" t="s">
        <v>138</v>
      </c>
      <c r="I27" s="6"/>
      <c r="J27" s="6"/>
      <c r="K27" s="20">
        <v>44522</v>
      </c>
      <c r="L27" s="2">
        <v>6</v>
      </c>
      <c r="M27" s="1">
        <f t="shared" si="1"/>
        <v>44702</v>
      </c>
      <c r="N27" s="6"/>
      <c r="O27" s="6">
        <v>4</v>
      </c>
      <c r="P27" s="3" t="s">
        <v>183</v>
      </c>
      <c r="Q27" s="2" t="s">
        <v>192</v>
      </c>
      <c r="R27" s="21" t="s">
        <v>206</v>
      </c>
      <c r="S27" s="2" t="s">
        <v>235</v>
      </c>
      <c r="T27" s="2" t="s">
        <v>291</v>
      </c>
      <c r="U27" s="22"/>
      <c r="V27" s="1">
        <v>18829513485</v>
      </c>
      <c r="W27" s="2" t="s">
        <v>396</v>
      </c>
      <c r="X27" s="1">
        <v>15127853890</v>
      </c>
      <c r="Y27" s="1" t="s">
        <v>468</v>
      </c>
      <c r="Z27" s="6"/>
      <c r="AA27" s="6"/>
      <c r="AB27" s="2" t="s">
        <v>479</v>
      </c>
      <c r="AC27" s="2">
        <v>43646</v>
      </c>
      <c r="AD27" s="2" t="s">
        <v>507</v>
      </c>
      <c r="AE27" s="2" t="s">
        <v>567</v>
      </c>
      <c r="AF27" s="28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 spans="1:45" x14ac:dyDescent="0.25">
      <c r="A28" s="7" t="s">
        <v>70</v>
      </c>
      <c r="B28" s="6" t="s">
        <v>109</v>
      </c>
      <c r="C28" s="8" t="s">
        <v>110</v>
      </c>
      <c r="D28" s="9" t="s">
        <v>111</v>
      </c>
      <c r="E28" s="6">
        <v>46</v>
      </c>
      <c r="F28" s="6"/>
      <c r="G28" s="1" t="s">
        <v>112</v>
      </c>
      <c r="H28" s="1" t="s">
        <v>139</v>
      </c>
      <c r="I28" s="6"/>
      <c r="J28" s="6"/>
      <c r="K28" s="10">
        <v>40695</v>
      </c>
      <c r="L28" s="1">
        <v>2</v>
      </c>
      <c r="M28" s="1">
        <f t="shared" si="1"/>
        <v>40755</v>
      </c>
      <c r="N28" s="6"/>
      <c r="O28" s="6">
        <v>14.6</v>
      </c>
      <c r="P28" s="3" t="s">
        <v>184</v>
      </c>
      <c r="Q28" s="1" t="s">
        <v>192</v>
      </c>
      <c r="R28" s="3" t="s">
        <v>205</v>
      </c>
      <c r="S28" s="1" t="s">
        <v>236</v>
      </c>
      <c r="T28" s="3"/>
      <c r="U28" s="1" t="s">
        <v>340</v>
      </c>
      <c r="V28" s="1">
        <v>18622405082</v>
      </c>
      <c r="W28" s="1" t="s">
        <v>397</v>
      </c>
      <c r="X28" s="1" t="s">
        <v>448</v>
      </c>
      <c r="Y28" s="3" t="s">
        <v>467</v>
      </c>
      <c r="Z28" s="6"/>
      <c r="AA28" s="6"/>
      <c r="AB28" s="1" t="s">
        <v>476</v>
      </c>
      <c r="AC28" s="13">
        <v>37408</v>
      </c>
      <c r="AD28" s="14" t="s">
        <v>508</v>
      </c>
      <c r="AE28" s="14" t="s">
        <v>568</v>
      </c>
      <c r="AF28" s="1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 spans="1:45" x14ac:dyDescent="0.25">
      <c r="A29" s="7" t="s">
        <v>71</v>
      </c>
      <c r="B29" s="6" t="s">
        <v>109</v>
      </c>
      <c r="C29" s="8" t="s">
        <v>110</v>
      </c>
      <c r="D29" s="9" t="s">
        <v>111</v>
      </c>
      <c r="E29" s="6">
        <v>43</v>
      </c>
      <c r="F29" s="6"/>
      <c r="G29" s="1" t="s">
        <v>112</v>
      </c>
      <c r="H29" s="1" t="s">
        <v>140</v>
      </c>
      <c r="I29" s="6"/>
      <c r="J29" s="6"/>
      <c r="K29" s="10">
        <v>44018</v>
      </c>
      <c r="L29" s="1">
        <v>6</v>
      </c>
      <c r="M29" s="1">
        <f t="shared" si="1"/>
        <v>44201</v>
      </c>
      <c r="N29" s="6"/>
      <c r="O29" s="6">
        <v>5.5</v>
      </c>
      <c r="P29" s="3" t="s">
        <v>178</v>
      </c>
      <c r="Q29" s="1" t="s">
        <v>191</v>
      </c>
      <c r="R29" s="3" t="s">
        <v>205</v>
      </c>
      <c r="S29" s="1" t="s">
        <v>237</v>
      </c>
      <c r="T29" s="1" t="s">
        <v>237</v>
      </c>
      <c r="U29" s="12" t="s">
        <v>341</v>
      </c>
      <c r="V29" s="1">
        <v>13651322008</v>
      </c>
      <c r="W29" s="24" t="s">
        <v>398</v>
      </c>
      <c r="X29" s="1" t="s">
        <v>449</v>
      </c>
      <c r="Y29" s="3" t="s">
        <v>474</v>
      </c>
      <c r="Z29" s="6"/>
      <c r="AA29" s="6"/>
      <c r="AB29" s="1" t="s">
        <v>476</v>
      </c>
      <c r="AC29" s="13">
        <v>38169</v>
      </c>
      <c r="AD29" s="24" t="s">
        <v>509</v>
      </c>
      <c r="AE29" s="24" t="s">
        <v>549</v>
      </c>
      <c r="AF29" s="1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x14ac:dyDescent="0.25">
      <c r="A30" s="7" t="s">
        <v>72</v>
      </c>
      <c r="B30" s="6" t="s">
        <v>109</v>
      </c>
      <c r="C30" s="8" t="s">
        <v>110</v>
      </c>
      <c r="D30" s="9" t="s">
        <v>111</v>
      </c>
      <c r="E30" s="6">
        <v>42</v>
      </c>
      <c r="F30" s="6"/>
      <c r="G30" s="1" t="s">
        <v>112</v>
      </c>
      <c r="H30" s="1" t="s">
        <v>141</v>
      </c>
      <c r="I30" s="6"/>
      <c r="J30" s="6"/>
      <c r="K30" s="10">
        <v>41253</v>
      </c>
      <c r="L30" s="1">
        <v>3</v>
      </c>
      <c r="M30" s="1">
        <f t="shared" si="1"/>
        <v>41342</v>
      </c>
      <c r="N30" s="6"/>
      <c r="O30" s="6">
        <v>13</v>
      </c>
      <c r="P30" s="3" t="s">
        <v>179</v>
      </c>
      <c r="Q30" s="1" t="s">
        <v>192</v>
      </c>
      <c r="R30" s="3" t="s">
        <v>200</v>
      </c>
      <c r="S30" s="1" t="s">
        <v>238</v>
      </c>
      <c r="T30" s="3" t="s">
        <v>292</v>
      </c>
      <c r="U30" s="1"/>
      <c r="V30" s="1" t="s">
        <v>371</v>
      </c>
      <c r="W30" s="1" t="s">
        <v>399</v>
      </c>
      <c r="X30" s="1">
        <v>13436960661</v>
      </c>
      <c r="Y30" s="3" t="s">
        <v>467</v>
      </c>
      <c r="Z30" s="6"/>
      <c r="AA30" s="6"/>
      <c r="AB30" s="1" t="s">
        <v>475</v>
      </c>
      <c r="AC30" s="13">
        <v>39272</v>
      </c>
      <c r="AD30" s="14" t="s">
        <v>510</v>
      </c>
      <c r="AE30" s="14" t="s">
        <v>569</v>
      </c>
      <c r="AF30" s="1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5">
      <c r="A31" s="15" t="s">
        <v>73</v>
      </c>
      <c r="B31" s="6" t="s">
        <v>109</v>
      </c>
      <c r="C31" s="8" t="s">
        <v>110</v>
      </c>
      <c r="D31" s="9" t="s">
        <v>111</v>
      </c>
      <c r="E31" s="6">
        <v>39</v>
      </c>
      <c r="F31" s="6"/>
      <c r="G31" s="1" t="s">
        <v>112</v>
      </c>
      <c r="H31" s="1" t="s">
        <v>142</v>
      </c>
      <c r="I31" s="6"/>
      <c r="J31" s="6"/>
      <c r="K31" s="16">
        <v>45425</v>
      </c>
      <c r="L31" s="1">
        <v>6</v>
      </c>
      <c r="M31" s="1">
        <f t="shared" si="1"/>
        <v>45608</v>
      </c>
      <c r="N31" s="6"/>
      <c r="O31" s="6">
        <v>1.7</v>
      </c>
      <c r="P31" s="3" t="s">
        <v>179</v>
      </c>
      <c r="Q31" s="1" t="s">
        <v>192</v>
      </c>
      <c r="R31" s="3" t="s">
        <v>198</v>
      </c>
      <c r="S31" s="3" t="s">
        <v>239</v>
      </c>
      <c r="T31" s="3" t="s">
        <v>293</v>
      </c>
      <c r="U31" s="12" t="s">
        <v>342</v>
      </c>
      <c r="V31" s="1">
        <v>18600542140</v>
      </c>
      <c r="W31" s="1" t="s">
        <v>400</v>
      </c>
      <c r="X31" s="1">
        <v>13552999664</v>
      </c>
      <c r="Y31" s="3" t="s">
        <v>468</v>
      </c>
      <c r="Z31" s="6"/>
      <c r="AA31" s="6"/>
      <c r="AB31" s="1" t="s">
        <v>480</v>
      </c>
      <c r="AC31" s="1">
        <v>39995</v>
      </c>
      <c r="AD31" s="1" t="s">
        <v>511</v>
      </c>
      <c r="AE31" s="1" t="s">
        <v>570</v>
      </c>
      <c r="AF31" s="3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5">
      <c r="A32" s="7" t="s">
        <v>74</v>
      </c>
      <c r="B32" s="6" t="s">
        <v>108</v>
      </c>
      <c r="C32" s="8" t="s">
        <v>110</v>
      </c>
      <c r="D32" s="9" t="s">
        <v>111</v>
      </c>
      <c r="E32" s="6">
        <v>42</v>
      </c>
      <c r="F32" s="6"/>
      <c r="G32" s="1" t="s">
        <v>112</v>
      </c>
      <c r="H32" s="1" t="s">
        <v>143</v>
      </c>
      <c r="I32" s="6"/>
      <c r="J32" s="6"/>
      <c r="K32" s="10">
        <v>44088</v>
      </c>
      <c r="L32" s="1">
        <v>6</v>
      </c>
      <c r="M32" s="1">
        <f t="shared" si="1"/>
        <v>44268</v>
      </c>
      <c r="N32" s="6"/>
      <c r="O32" s="6">
        <v>5.3</v>
      </c>
      <c r="P32" s="3" t="s">
        <v>178</v>
      </c>
      <c r="Q32" s="1" t="s">
        <v>191</v>
      </c>
      <c r="R32" s="3" t="s">
        <v>205</v>
      </c>
      <c r="S32" s="1" t="s">
        <v>240</v>
      </c>
      <c r="T32" s="1" t="s">
        <v>294</v>
      </c>
      <c r="U32" s="12" t="s">
        <v>343</v>
      </c>
      <c r="V32" s="1">
        <v>13901379447</v>
      </c>
      <c r="W32" s="24" t="s">
        <v>401</v>
      </c>
      <c r="X32" s="1" t="s">
        <v>450</v>
      </c>
      <c r="Y32" s="3" t="s">
        <v>469</v>
      </c>
      <c r="Z32" s="6"/>
      <c r="AA32" s="6"/>
      <c r="AB32" s="1" t="s">
        <v>476</v>
      </c>
      <c r="AC32" s="13">
        <v>39264</v>
      </c>
      <c r="AD32" s="24" t="s">
        <v>512</v>
      </c>
      <c r="AE32" s="24" t="s">
        <v>571</v>
      </c>
      <c r="AF32" s="1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5">
      <c r="A33" s="7" t="s">
        <v>75</v>
      </c>
      <c r="B33" s="6" t="s">
        <v>109</v>
      </c>
      <c r="C33" s="8" t="s">
        <v>110</v>
      </c>
      <c r="D33" s="9" t="s">
        <v>111</v>
      </c>
      <c r="E33" s="6">
        <v>28</v>
      </c>
      <c r="F33" s="6"/>
      <c r="G33" s="1" t="s">
        <v>112</v>
      </c>
      <c r="H33" s="1" t="s">
        <v>144</v>
      </c>
      <c r="I33" s="6"/>
      <c r="J33" s="6"/>
      <c r="K33" s="10">
        <v>43794</v>
      </c>
      <c r="L33" s="1">
        <v>0</v>
      </c>
      <c r="M33" s="11">
        <f>IF(K33="","",DATE(YEAR(K33),MONTH(K33)+L33,DAY(K33)))</f>
        <v>43794</v>
      </c>
      <c r="N33" s="6"/>
      <c r="O33" s="6">
        <v>6</v>
      </c>
      <c r="P33" s="3" t="s">
        <v>179</v>
      </c>
      <c r="Q33" s="1" t="s">
        <v>193</v>
      </c>
      <c r="R33" s="3" t="s">
        <v>207</v>
      </c>
      <c r="S33" s="1" t="s">
        <v>241</v>
      </c>
      <c r="T33" s="1" t="s">
        <v>241</v>
      </c>
      <c r="U33" s="1"/>
      <c r="V33" s="1">
        <v>18310918851</v>
      </c>
      <c r="W33" s="24" t="s">
        <v>402</v>
      </c>
      <c r="X33" s="1" t="s">
        <v>451</v>
      </c>
      <c r="Y33" s="3" t="s">
        <v>468</v>
      </c>
      <c r="Z33" s="6"/>
      <c r="AA33" s="6"/>
      <c r="AB33" s="1" t="s">
        <v>476</v>
      </c>
      <c r="AC33" s="29">
        <v>44012</v>
      </c>
      <c r="AD33" s="24" t="s">
        <v>513</v>
      </c>
      <c r="AE33" s="24" t="s">
        <v>572</v>
      </c>
      <c r="AF33" s="1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5">
      <c r="A34" s="7" t="s">
        <v>76</v>
      </c>
      <c r="B34" s="6" t="s">
        <v>109</v>
      </c>
      <c r="C34" s="8" t="s">
        <v>110</v>
      </c>
      <c r="D34" s="9" t="s">
        <v>111</v>
      </c>
      <c r="E34" s="6">
        <v>35</v>
      </c>
      <c r="F34" s="6"/>
      <c r="G34" s="1" t="s">
        <v>112</v>
      </c>
      <c r="H34" s="1" t="s">
        <v>145</v>
      </c>
      <c r="I34" s="6"/>
      <c r="J34" s="6"/>
      <c r="K34" s="10">
        <v>45875</v>
      </c>
      <c r="L34" s="1">
        <v>6</v>
      </c>
      <c r="M34" s="1">
        <f t="shared" ref="M34:M57" si="2">IF(K34="","",DATE(YEAR(K34),MONTH(K34)+L34,DAY(K34)-1))</f>
        <v>46058</v>
      </c>
      <c r="N34" s="6"/>
      <c r="O34" s="6">
        <v>0.4</v>
      </c>
      <c r="P34" s="3" t="s">
        <v>179</v>
      </c>
      <c r="Q34" s="1" t="s">
        <v>191</v>
      </c>
      <c r="R34" s="3" t="s">
        <v>205</v>
      </c>
      <c r="S34" s="1" t="s">
        <v>242</v>
      </c>
      <c r="T34" s="1" t="s">
        <v>295</v>
      </c>
      <c r="U34" s="12" t="s">
        <v>344</v>
      </c>
      <c r="V34" s="1">
        <v>15210293728</v>
      </c>
      <c r="W34" s="1" t="s">
        <v>403</v>
      </c>
      <c r="X34" s="1">
        <v>13501067387</v>
      </c>
      <c r="Y34" s="1" t="s">
        <v>469</v>
      </c>
      <c r="Z34" s="6"/>
      <c r="AA34" s="6"/>
      <c r="AB34" s="1" t="s">
        <v>479</v>
      </c>
      <c r="AC34" s="13">
        <v>41821</v>
      </c>
      <c r="AD34" s="14" t="s">
        <v>514</v>
      </c>
      <c r="AE34" s="14" t="s">
        <v>573</v>
      </c>
      <c r="AF34" s="1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5">
      <c r="A35" s="7" t="s">
        <v>77</v>
      </c>
      <c r="B35" s="6" t="s">
        <v>109</v>
      </c>
      <c r="C35" s="8" t="s">
        <v>110</v>
      </c>
      <c r="D35" s="9" t="s">
        <v>111</v>
      </c>
      <c r="E35" s="6">
        <v>36</v>
      </c>
      <c r="F35" s="6"/>
      <c r="G35" s="1" t="s">
        <v>112</v>
      </c>
      <c r="H35" s="1" t="s">
        <v>146</v>
      </c>
      <c r="I35" s="6"/>
      <c r="J35" s="6"/>
      <c r="K35" s="10">
        <v>42976</v>
      </c>
      <c r="L35" s="26">
        <v>2</v>
      </c>
      <c r="M35" s="1">
        <f t="shared" si="2"/>
        <v>43036</v>
      </c>
      <c r="N35" s="6"/>
      <c r="O35" s="6">
        <v>8.3000000000000007</v>
      </c>
      <c r="P35" s="3" t="s">
        <v>184</v>
      </c>
      <c r="Q35" s="1" t="s">
        <v>192</v>
      </c>
      <c r="R35" s="3" t="s">
        <v>205</v>
      </c>
      <c r="S35" s="1" t="s">
        <v>243</v>
      </c>
      <c r="T35" s="3"/>
      <c r="U35" s="1" t="s">
        <v>345</v>
      </c>
      <c r="V35" s="1">
        <v>15900398072</v>
      </c>
      <c r="W35" s="1" t="s">
        <v>404</v>
      </c>
      <c r="X35" s="1" t="s">
        <v>452</v>
      </c>
      <c r="Y35" s="3" t="s">
        <v>472</v>
      </c>
      <c r="Z35" s="6"/>
      <c r="AA35" s="6"/>
      <c r="AB35" s="1" t="s">
        <v>476</v>
      </c>
      <c r="AC35" s="13">
        <v>40725</v>
      </c>
      <c r="AD35" s="14" t="s">
        <v>515</v>
      </c>
      <c r="AE35" s="14" t="s">
        <v>574</v>
      </c>
      <c r="AF35" s="1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5">
      <c r="A36" s="7" t="s">
        <v>78</v>
      </c>
      <c r="B36" s="6" t="s">
        <v>109</v>
      </c>
      <c r="C36" s="8" t="s">
        <v>110</v>
      </c>
      <c r="D36" s="9" t="s">
        <v>111</v>
      </c>
      <c r="E36" s="6">
        <v>43</v>
      </c>
      <c r="F36" s="6"/>
      <c r="G36" s="1" t="s">
        <v>112</v>
      </c>
      <c r="H36" s="1" t="s">
        <v>147</v>
      </c>
      <c r="I36" s="6"/>
      <c r="J36" s="6"/>
      <c r="K36" s="10">
        <v>40483</v>
      </c>
      <c r="L36" s="1">
        <v>2</v>
      </c>
      <c r="M36" s="1">
        <f t="shared" si="2"/>
        <v>40543</v>
      </c>
      <c r="N36" s="6"/>
      <c r="O36" s="6">
        <v>15.1</v>
      </c>
      <c r="P36" s="3" t="s">
        <v>184</v>
      </c>
      <c r="Q36" s="1" t="s">
        <v>192</v>
      </c>
      <c r="R36" s="3" t="s">
        <v>205</v>
      </c>
      <c r="S36" s="1" t="s">
        <v>244</v>
      </c>
      <c r="T36" s="3"/>
      <c r="U36" s="1" t="s">
        <v>346</v>
      </c>
      <c r="V36" s="1">
        <v>18622195620</v>
      </c>
      <c r="W36" s="1" t="s">
        <v>405</v>
      </c>
      <c r="X36" s="1" t="s">
        <v>453</v>
      </c>
      <c r="Y36" s="3" t="s">
        <v>467</v>
      </c>
      <c r="Z36" s="6"/>
      <c r="AA36" s="6"/>
      <c r="AB36" s="1" t="s">
        <v>475</v>
      </c>
      <c r="AC36" s="13">
        <v>42522</v>
      </c>
      <c r="AD36" s="14" t="s">
        <v>516</v>
      </c>
      <c r="AE36" s="14" t="s">
        <v>575</v>
      </c>
      <c r="AF36" s="1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5">
      <c r="A37" s="7" t="s">
        <v>79</v>
      </c>
      <c r="B37" s="6" t="s">
        <v>109</v>
      </c>
      <c r="C37" s="8" t="s">
        <v>110</v>
      </c>
      <c r="D37" s="9" t="s">
        <v>111</v>
      </c>
      <c r="E37" s="6">
        <v>46</v>
      </c>
      <c r="F37" s="6"/>
      <c r="G37" s="1" t="s">
        <v>112</v>
      </c>
      <c r="H37" s="1" t="s">
        <v>148</v>
      </c>
      <c r="I37" s="6"/>
      <c r="J37" s="6"/>
      <c r="K37" s="10">
        <v>41671</v>
      </c>
      <c r="L37" s="1">
        <v>2</v>
      </c>
      <c r="M37" s="1">
        <f t="shared" si="2"/>
        <v>41729</v>
      </c>
      <c r="N37" s="6"/>
      <c r="O37" s="6">
        <v>11.1</v>
      </c>
      <c r="P37" s="3" t="s">
        <v>184</v>
      </c>
      <c r="Q37" s="1" t="s">
        <v>192</v>
      </c>
      <c r="R37" s="3" t="s">
        <v>205</v>
      </c>
      <c r="S37" s="1" t="s">
        <v>245</v>
      </c>
      <c r="T37" s="3"/>
      <c r="U37" s="1" t="s">
        <v>347</v>
      </c>
      <c r="V37" s="1">
        <v>15822703812</v>
      </c>
      <c r="W37" s="1" t="s">
        <v>406</v>
      </c>
      <c r="X37" s="1" t="s">
        <v>454</v>
      </c>
      <c r="Y37" s="3" t="s">
        <v>467</v>
      </c>
      <c r="Z37" s="6"/>
      <c r="AA37" s="6"/>
      <c r="AB37" s="1" t="s">
        <v>475</v>
      </c>
      <c r="AC37" s="13">
        <v>40360</v>
      </c>
      <c r="AD37" s="14" t="s">
        <v>517</v>
      </c>
      <c r="AE37" s="14" t="s">
        <v>575</v>
      </c>
      <c r="AF37" s="1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5">
      <c r="A38" s="7" t="s">
        <v>80</v>
      </c>
      <c r="B38" s="6" t="s">
        <v>109</v>
      </c>
      <c r="C38" s="8" t="s">
        <v>110</v>
      </c>
      <c r="D38" s="9" t="s">
        <v>111</v>
      </c>
      <c r="E38" s="6">
        <v>32</v>
      </c>
      <c r="F38" s="6"/>
      <c r="G38" s="1" t="s">
        <v>112</v>
      </c>
      <c r="H38" s="1" t="s">
        <v>149</v>
      </c>
      <c r="I38" s="6"/>
      <c r="J38" s="6"/>
      <c r="K38" s="10">
        <v>44494</v>
      </c>
      <c r="L38" s="1">
        <v>6</v>
      </c>
      <c r="M38" s="1">
        <f t="shared" si="2"/>
        <v>44675</v>
      </c>
      <c r="N38" s="6"/>
      <c r="O38" s="6">
        <v>4.0999999999999996</v>
      </c>
      <c r="P38" s="3" t="s">
        <v>184</v>
      </c>
      <c r="Q38" s="1" t="s">
        <v>192</v>
      </c>
      <c r="R38" s="3" t="s">
        <v>205</v>
      </c>
      <c r="S38" s="1" t="s">
        <v>246</v>
      </c>
      <c r="T38" s="3"/>
      <c r="U38" s="1" t="s">
        <v>348</v>
      </c>
      <c r="V38" s="1">
        <v>13612020210</v>
      </c>
      <c r="W38" s="1" t="s">
        <v>407</v>
      </c>
      <c r="X38" s="1" t="s">
        <v>455</v>
      </c>
      <c r="Y38" s="3" t="s">
        <v>472</v>
      </c>
      <c r="Z38" s="6"/>
      <c r="AA38" s="6"/>
      <c r="AB38" s="1" t="s">
        <v>475</v>
      </c>
      <c r="AC38" s="13">
        <v>42542</v>
      </c>
      <c r="AD38" s="14" t="s">
        <v>518</v>
      </c>
      <c r="AE38" s="14" t="s">
        <v>576</v>
      </c>
      <c r="AF38" s="1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5">
      <c r="A39" s="7" t="s">
        <v>81</v>
      </c>
      <c r="B39" s="6" t="s">
        <v>109</v>
      </c>
      <c r="C39" s="8" t="s">
        <v>110</v>
      </c>
      <c r="D39" s="9" t="s">
        <v>111</v>
      </c>
      <c r="E39" s="6">
        <v>36</v>
      </c>
      <c r="F39" s="6"/>
      <c r="G39" s="1" t="s">
        <v>112</v>
      </c>
      <c r="H39" s="1" t="s">
        <v>150</v>
      </c>
      <c r="I39" s="6"/>
      <c r="J39" s="6"/>
      <c r="K39" s="10">
        <v>44767</v>
      </c>
      <c r="L39" s="1">
        <v>6</v>
      </c>
      <c r="M39" s="1">
        <f t="shared" si="2"/>
        <v>44950</v>
      </c>
      <c r="N39" s="6"/>
      <c r="O39" s="6">
        <v>3.4</v>
      </c>
      <c r="P39" s="3" t="s">
        <v>184</v>
      </c>
      <c r="Q39" s="1" t="s">
        <v>192</v>
      </c>
      <c r="R39" s="3" t="s">
        <v>205</v>
      </c>
      <c r="S39" s="1" t="s">
        <v>247</v>
      </c>
      <c r="T39" s="3"/>
      <c r="U39" s="1" t="s">
        <v>349</v>
      </c>
      <c r="V39" s="1">
        <v>13702137243</v>
      </c>
      <c r="W39" s="1" t="s">
        <v>408</v>
      </c>
      <c r="X39" s="1" t="s">
        <v>456</v>
      </c>
      <c r="Y39" s="3" t="s">
        <v>472</v>
      </c>
      <c r="Z39" s="6"/>
      <c r="AA39" s="6"/>
      <c r="AB39" s="2" t="s">
        <v>476</v>
      </c>
      <c r="AC39" s="13">
        <v>40724</v>
      </c>
      <c r="AD39" s="14" t="s">
        <v>519</v>
      </c>
      <c r="AE39" s="14" t="s">
        <v>577</v>
      </c>
      <c r="AF39" s="1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5">
      <c r="A40" s="7" t="s">
        <v>82</v>
      </c>
      <c r="B40" s="6" t="s">
        <v>109</v>
      </c>
      <c r="C40" s="8" t="s">
        <v>110</v>
      </c>
      <c r="D40" s="9" t="s">
        <v>111</v>
      </c>
      <c r="E40" s="6">
        <v>38</v>
      </c>
      <c r="F40" s="6"/>
      <c r="G40" s="1" t="s">
        <v>112</v>
      </c>
      <c r="H40" s="1" t="s">
        <v>151</v>
      </c>
      <c r="I40" s="6"/>
      <c r="J40" s="6"/>
      <c r="K40" s="16">
        <v>45505</v>
      </c>
      <c r="L40" s="1">
        <v>6</v>
      </c>
      <c r="M40" s="1">
        <f t="shared" si="2"/>
        <v>45688</v>
      </c>
      <c r="N40" s="6"/>
      <c r="O40" s="6">
        <v>1.4</v>
      </c>
      <c r="P40" s="3" t="s">
        <v>184</v>
      </c>
      <c r="Q40" s="1" t="s">
        <v>194</v>
      </c>
      <c r="R40" s="3" t="s">
        <v>198</v>
      </c>
      <c r="S40" s="3" t="s">
        <v>248</v>
      </c>
      <c r="T40" s="3" t="s">
        <v>296</v>
      </c>
      <c r="U40" s="12" t="s">
        <v>350</v>
      </c>
      <c r="V40" s="1">
        <v>13702084452</v>
      </c>
      <c r="W40" s="1" t="s">
        <v>409</v>
      </c>
      <c r="X40" s="1">
        <v>13207563547</v>
      </c>
      <c r="Y40" s="3" t="s">
        <v>469</v>
      </c>
      <c r="Z40" s="6"/>
      <c r="AA40" s="6"/>
      <c r="AB40" s="1" t="s">
        <v>480</v>
      </c>
      <c r="AC40" s="1">
        <v>39994</v>
      </c>
      <c r="AD40" s="3" t="s">
        <v>520</v>
      </c>
      <c r="AE40" s="3" t="s">
        <v>578</v>
      </c>
      <c r="AF40" s="3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5">
      <c r="A41" s="7" t="s">
        <v>83</v>
      </c>
      <c r="B41" s="6" t="s">
        <v>109</v>
      </c>
      <c r="C41" s="8" t="s">
        <v>110</v>
      </c>
      <c r="D41" s="9" t="s">
        <v>111</v>
      </c>
      <c r="E41" s="6">
        <v>35</v>
      </c>
      <c r="F41" s="6"/>
      <c r="G41" s="1" t="s">
        <v>112</v>
      </c>
      <c r="H41" s="1" t="s">
        <v>152</v>
      </c>
      <c r="I41" s="6"/>
      <c r="J41" s="6"/>
      <c r="K41" s="10">
        <v>43024</v>
      </c>
      <c r="L41" s="1">
        <v>3</v>
      </c>
      <c r="M41" s="1">
        <f t="shared" si="2"/>
        <v>43115</v>
      </c>
      <c r="N41" s="6"/>
      <c r="O41" s="6">
        <v>8.1999999999999993</v>
      </c>
      <c r="P41" s="3" t="s">
        <v>180</v>
      </c>
      <c r="Q41" s="1" t="s">
        <v>192</v>
      </c>
      <c r="R41" s="3" t="s">
        <v>200</v>
      </c>
      <c r="S41" s="1" t="s">
        <v>249</v>
      </c>
      <c r="T41" s="3"/>
      <c r="U41" s="17" t="s">
        <v>351</v>
      </c>
      <c r="V41" s="1">
        <v>18132633871</v>
      </c>
      <c r="W41" s="1" t="s">
        <v>410</v>
      </c>
      <c r="X41" s="1">
        <v>18713188290</v>
      </c>
      <c r="Y41" s="3" t="s">
        <v>467</v>
      </c>
      <c r="Z41" s="6"/>
      <c r="AA41" s="6"/>
      <c r="AB41" s="1" t="s">
        <v>475</v>
      </c>
      <c r="AC41" s="13">
        <v>41451</v>
      </c>
      <c r="AD41" s="14" t="s">
        <v>521</v>
      </c>
      <c r="AE41" s="14" t="s">
        <v>579</v>
      </c>
      <c r="AF41" s="1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5">
      <c r="A42" s="7" t="s">
        <v>84</v>
      </c>
      <c r="B42" s="6" t="s">
        <v>109</v>
      </c>
      <c r="C42" s="8" t="s">
        <v>110</v>
      </c>
      <c r="D42" s="9" t="s">
        <v>111</v>
      </c>
      <c r="E42" s="6">
        <v>40</v>
      </c>
      <c r="F42" s="6"/>
      <c r="G42" s="1" t="s">
        <v>112</v>
      </c>
      <c r="H42" s="1" t="s">
        <v>153</v>
      </c>
      <c r="I42" s="6"/>
      <c r="J42" s="6"/>
      <c r="K42" s="10">
        <v>43790</v>
      </c>
      <c r="L42" s="1">
        <v>3</v>
      </c>
      <c r="M42" s="1">
        <f t="shared" si="2"/>
        <v>43881</v>
      </c>
      <c r="N42" s="6"/>
      <c r="O42" s="6">
        <v>6</v>
      </c>
      <c r="P42" s="3" t="s">
        <v>180</v>
      </c>
      <c r="Q42" s="1" t="s">
        <v>192</v>
      </c>
      <c r="R42" s="3" t="s">
        <v>205</v>
      </c>
      <c r="S42" s="1" t="s">
        <v>250</v>
      </c>
      <c r="T42" s="3" t="s">
        <v>297</v>
      </c>
      <c r="U42" s="17" t="s">
        <v>352</v>
      </c>
      <c r="V42" s="1">
        <v>15931671085</v>
      </c>
      <c r="W42" s="24" t="s">
        <v>411</v>
      </c>
      <c r="X42" s="1" t="s">
        <v>457</v>
      </c>
      <c r="Y42" s="3" t="s">
        <v>467</v>
      </c>
      <c r="Z42" s="6"/>
      <c r="AA42" s="6"/>
      <c r="AB42" s="1" t="s">
        <v>475</v>
      </c>
      <c r="AC42" s="13">
        <v>39629</v>
      </c>
      <c r="AD42" s="24" t="s">
        <v>522</v>
      </c>
      <c r="AE42" s="24" t="s">
        <v>572</v>
      </c>
      <c r="AF42" s="1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5">
      <c r="A43" s="7" t="s">
        <v>85</v>
      </c>
      <c r="B43" s="6" t="s">
        <v>109</v>
      </c>
      <c r="C43" s="8" t="s">
        <v>110</v>
      </c>
      <c r="D43" s="9" t="s">
        <v>111</v>
      </c>
      <c r="E43" s="6">
        <v>38</v>
      </c>
      <c r="F43" s="6"/>
      <c r="G43" s="1" t="s">
        <v>112</v>
      </c>
      <c r="H43" s="1" t="s">
        <v>154</v>
      </c>
      <c r="I43" s="6"/>
      <c r="J43" s="6"/>
      <c r="K43" s="10">
        <v>43600</v>
      </c>
      <c r="L43" s="1">
        <v>3</v>
      </c>
      <c r="M43" s="1">
        <f t="shared" si="2"/>
        <v>43691</v>
      </c>
      <c r="N43" s="6"/>
      <c r="O43" s="6">
        <v>6.7</v>
      </c>
      <c r="P43" s="3" t="s">
        <v>180</v>
      </c>
      <c r="Q43" s="1" t="s">
        <v>192</v>
      </c>
      <c r="R43" s="3" t="s">
        <v>200</v>
      </c>
      <c r="S43" s="1" t="s">
        <v>251</v>
      </c>
      <c r="T43" s="3"/>
      <c r="U43" s="17" t="s">
        <v>353</v>
      </c>
      <c r="V43" s="1">
        <v>18931102420</v>
      </c>
      <c r="W43" s="1" t="s">
        <v>412</v>
      </c>
      <c r="X43" s="1" t="s">
        <v>458</v>
      </c>
      <c r="Y43" s="3" t="s">
        <v>467</v>
      </c>
      <c r="Z43" s="6"/>
      <c r="AA43" s="6"/>
      <c r="AB43" s="1" t="s">
        <v>475</v>
      </c>
      <c r="AC43" s="13">
        <v>40330</v>
      </c>
      <c r="AD43" s="14" t="s">
        <v>523</v>
      </c>
      <c r="AE43" s="14" t="s">
        <v>572</v>
      </c>
      <c r="AF43" s="1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5">
      <c r="A44" s="19" t="s">
        <v>86</v>
      </c>
      <c r="B44" s="6" t="s">
        <v>109</v>
      </c>
      <c r="C44" s="8" t="s">
        <v>110</v>
      </c>
      <c r="D44" s="9" t="s">
        <v>111</v>
      </c>
      <c r="E44" s="6">
        <v>33</v>
      </c>
      <c r="F44" s="6"/>
      <c r="G44" s="1" t="s">
        <v>112</v>
      </c>
      <c r="H44" s="2" t="s">
        <v>155</v>
      </c>
      <c r="I44" s="6"/>
      <c r="J44" s="6"/>
      <c r="K44" s="20">
        <v>44441</v>
      </c>
      <c r="L44" s="2">
        <v>6</v>
      </c>
      <c r="M44" s="1">
        <f t="shared" si="2"/>
        <v>44621</v>
      </c>
      <c r="N44" s="6"/>
      <c r="O44" s="6">
        <v>4.3</v>
      </c>
      <c r="P44" s="21" t="s">
        <v>180</v>
      </c>
      <c r="Q44" s="2" t="s">
        <v>192</v>
      </c>
      <c r="R44" s="21" t="s">
        <v>206</v>
      </c>
      <c r="S44" s="2" t="s">
        <v>252</v>
      </c>
      <c r="T44" s="21" t="s">
        <v>298</v>
      </c>
      <c r="U44" s="17" t="s">
        <v>354</v>
      </c>
      <c r="V44" s="1">
        <v>13331340893</v>
      </c>
      <c r="W44" s="2" t="s">
        <v>413</v>
      </c>
      <c r="X44" s="1">
        <v>13739779650</v>
      </c>
      <c r="Y44" s="2" t="s">
        <v>467</v>
      </c>
      <c r="Z44" s="6"/>
      <c r="AA44" s="6"/>
      <c r="AB44" s="2" t="s">
        <v>476</v>
      </c>
      <c r="AC44" s="2">
        <v>41820</v>
      </c>
      <c r="AD44" s="2" t="s">
        <v>524</v>
      </c>
      <c r="AE44" s="2" t="s">
        <v>580</v>
      </c>
      <c r="AF44" s="28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5">
      <c r="A45" s="19" t="s">
        <v>87</v>
      </c>
      <c r="B45" s="6" t="s">
        <v>109</v>
      </c>
      <c r="C45" s="8" t="s">
        <v>110</v>
      </c>
      <c r="D45" s="9" t="s">
        <v>111</v>
      </c>
      <c r="E45" s="6">
        <v>33</v>
      </c>
      <c r="F45" s="6"/>
      <c r="G45" s="1" t="s">
        <v>112</v>
      </c>
      <c r="H45" s="2" t="s">
        <v>156</v>
      </c>
      <c r="I45" s="6"/>
      <c r="J45" s="6"/>
      <c r="K45" s="20">
        <v>44623</v>
      </c>
      <c r="L45" s="2">
        <v>6</v>
      </c>
      <c r="M45" s="1">
        <f t="shared" si="2"/>
        <v>44806</v>
      </c>
      <c r="N45" s="6"/>
      <c r="O45" s="6">
        <v>3.9</v>
      </c>
      <c r="P45" s="21" t="s">
        <v>187</v>
      </c>
      <c r="Q45" s="2" t="s">
        <v>194</v>
      </c>
      <c r="R45" s="21" t="s">
        <v>208</v>
      </c>
      <c r="S45" s="2" t="s">
        <v>253</v>
      </c>
      <c r="T45" s="21" t="s">
        <v>299</v>
      </c>
      <c r="U45" s="17" t="s">
        <v>355</v>
      </c>
      <c r="V45" s="1">
        <v>15127134557</v>
      </c>
      <c r="W45" s="2" t="s">
        <v>414</v>
      </c>
      <c r="X45" s="1">
        <v>18942650410</v>
      </c>
      <c r="Y45" s="2" t="s">
        <v>468</v>
      </c>
      <c r="Z45" s="6"/>
      <c r="AA45" s="6"/>
      <c r="AB45" s="2" t="s">
        <v>476</v>
      </c>
      <c r="AC45" s="2">
        <v>41821</v>
      </c>
      <c r="AD45" s="2" t="s">
        <v>525</v>
      </c>
      <c r="AE45" s="2" t="s">
        <v>581</v>
      </c>
      <c r="AF45" s="28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ht="26.4" x14ac:dyDescent="0.25">
      <c r="A46" s="19" t="s">
        <v>88</v>
      </c>
      <c r="B46" s="6" t="s">
        <v>109</v>
      </c>
      <c r="C46" s="8" t="s">
        <v>110</v>
      </c>
      <c r="D46" s="9" t="s">
        <v>111</v>
      </c>
      <c r="E46" s="6">
        <v>43</v>
      </c>
      <c r="F46" s="6"/>
      <c r="G46" s="1" t="s">
        <v>112</v>
      </c>
      <c r="H46" s="2" t="s">
        <v>157</v>
      </c>
      <c r="I46" s="6"/>
      <c r="J46" s="6"/>
      <c r="K46" s="20">
        <v>44652</v>
      </c>
      <c r="L46" s="2">
        <v>6</v>
      </c>
      <c r="M46" s="1">
        <f t="shared" si="2"/>
        <v>44834</v>
      </c>
      <c r="N46" s="6"/>
      <c r="O46" s="6">
        <v>3.8</v>
      </c>
      <c r="P46" s="21" t="s">
        <v>187</v>
      </c>
      <c r="Q46" s="2" t="s">
        <v>194</v>
      </c>
      <c r="R46" s="21" t="s">
        <v>200</v>
      </c>
      <c r="S46" s="2" t="s">
        <v>254</v>
      </c>
      <c r="T46" s="21" t="s">
        <v>300</v>
      </c>
      <c r="U46" s="17" t="s">
        <v>356</v>
      </c>
      <c r="V46" s="1">
        <v>15200002591</v>
      </c>
      <c r="W46" s="2" t="s">
        <v>415</v>
      </c>
      <c r="X46" s="1">
        <v>15200000591</v>
      </c>
      <c r="Y46" s="3" t="s">
        <v>469</v>
      </c>
      <c r="Z46" s="6"/>
      <c r="AA46" s="6"/>
      <c r="AB46" s="2" t="s">
        <v>476</v>
      </c>
      <c r="AC46" s="2">
        <v>44387</v>
      </c>
      <c r="AD46" s="2" t="s">
        <v>526</v>
      </c>
      <c r="AE46" s="2" t="s">
        <v>582</v>
      </c>
      <c r="AF46" s="28" t="s">
        <v>596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ht="24" x14ac:dyDescent="0.25">
      <c r="A47" s="19" t="s">
        <v>89</v>
      </c>
      <c r="B47" s="6" t="s">
        <v>109</v>
      </c>
      <c r="C47" s="8" t="s">
        <v>110</v>
      </c>
      <c r="D47" s="9" t="s">
        <v>111</v>
      </c>
      <c r="E47" s="6">
        <v>29</v>
      </c>
      <c r="F47" s="6"/>
      <c r="G47" s="1" t="s">
        <v>112</v>
      </c>
      <c r="H47" s="2" t="s">
        <v>158</v>
      </c>
      <c r="I47" s="6"/>
      <c r="J47" s="6"/>
      <c r="K47" s="20">
        <v>44880</v>
      </c>
      <c r="L47" s="2">
        <v>6</v>
      </c>
      <c r="M47" s="1">
        <f t="shared" si="2"/>
        <v>45060</v>
      </c>
      <c r="N47" s="6"/>
      <c r="O47" s="6">
        <v>3.1</v>
      </c>
      <c r="P47" s="3" t="s">
        <v>180</v>
      </c>
      <c r="Q47" s="2" t="s">
        <v>194</v>
      </c>
      <c r="R47" s="21" t="s">
        <v>205</v>
      </c>
      <c r="S47" s="2" t="s">
        <v>255</v>
      </c>
      <c r="T47" s="2" t="s">
        <v>301</v>
      </c>
      <c r="U47" s="17" t="s">
        <v>357</v>
      </c>
      <c r="V47" s="1">
        <v>13832331106</v>
      </c>
      <c r="W47" s="2" t="s">
        <v>416</v>
      </c>
      <c r="X47" s="1">
        <v>15188873837</v>
      </c>
      <c r="Y47" s="1" t="s">
        <v>471</v>
      </c>
      <c r="Z47" s="6"/>
      <c r="AA47" s="6"/>
      <c r="AB47" s="2" t="s">
        <v>479</v>
      </c>
      <c r="AC47" s="2">
        <v>43281</v>
      </c>
      <c r="AD47" s="2" t="s">
        <v>527</v>
      </c>
      <c r="AE47" s="2" t="s">
        <v>583</v>
      </c>
      <c r="AF47" s="28" t="s">
        <v>597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5">
      <c r="A48" s="7" t="s">
        <v>90</v>
      </c>
      <c r="B48" s="6" t="s">
        <v>108</v>
      </c>
      <c r="C48" s="8" t="s">
        <v>110</v>
      </c>
      <c r="D48" s="9" t="s">
        <v>111</v>
      </c>
      <c r="E48" s="6">
        <v>32</v>
      </c>
      <c r="F48" s="6"/>
      <c r="G48" s="1" t="s">
        <v>112</v>
      </c>
      <c r="H48" s="1" t="s">
        <v>159</v>
      </c>
      <c r="I48" s="6"/>
      <c r="J48" s="6"/>
      <c r="K48" s="10">
        <v>43766</v>
      </c>
      <c r="L48" s="1">
        <v>6</v>
      </c>
      <c r="M48" s="1">
        <f t="shared" si="2"/>
        <v>43948</v>
      </c>
      <c r="N48" s="6"/>
      <c r="O48" s="6">
        <v>6.1</v>
      </c>
      <c r="P48" s="3" t="s">
        <v>188</v>
      </c>
      <c r="Q48" s="1" t="s">
        <v>193</v>
      </c>
      <c r="R48" s="3" t="s">
        <v>196</v>
      </c>
      <c r="S48" s="1" t="s">
        <v>256</v>
      </c>
      <c r="T48" s="3" t="s">
        <v>302</v>
      </c>
      <c r="U48" s="1"/>
      <c r="V48" s="1">
        <v>17841391664</v>
      </c>
      <c r="W48" s="24" t="s">
        <v>417</v>
      </c>
      <c r="X48" s="1" t="s">
        <v>459</v>
      </c>
      <c r="Y48" s="3" t="s">
        <v>467</v>
      </c>
      <c r="Z48" s="6"/>
      <c r="AA48" s="6"/>
      <c r="AB48" s="1" t="s">
        <v>479</v>
      </c>
      <c r="AC48" s="13">
        <v>43271</v>
      </c>
      <c r="AD48" s="24" t="s">
        <v>528</v>
      </c>
      <c r="AE48" s="24" t="s">
        <v>572</v>
      </c>
      <c r="AF48" s="1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5">
      <c r="A49" s="7" t="s">
        <v>91</v>
      </c>
      <c r="B49" s="6" t="s">
        <v>108</v>
      </c>
      <c r="C49" s="8" t="s">
        <v>110</v>
      </c>
      <c r="D49" s="9" t="s">
        <v>111</v>
      </c>
      <c r="E49" s="6">
        <v>37</v>
      </c>
      <c r="F49" s="6"/>
      <c r="G49" s="1" t="s">
        <v>112</v>
      </c>
      <c r="H49" s="1" t="s">
        <v>160</v>
      </c>
      <c r="I49" s="6"/>
      <c r="J49" s="6"/>
      <c r="K49" s="10">
        <v>43822</v>
      </c>
      <c r="L49" s="1">
        <v>6</v>
      </c>
      <c r="M49" s="1">
        <f t="shared" si="2"/>
        <v>44004</v>
      </c>
      <c r="N49" s="6"/>
      <c r="O49" s="6">
        <v>5.1100000000000003</v>
      </c>
      <c r="P49" s="3" t="s">
        <v>189</v>
      </c>
      <c r="Q49" s="1" t="s">
        <v>192</v>
      </c>
      <c r="R49" s="3" t="s">
        <v>205</v>
      </c>
      <c r="S49" s="1" t="s">
        <v>257</v>
      </c>
      <c r="T49" s="1" t="s">
        <v>303</v>
      </c>
      <c r="U49" s="12" t="s">
        <v>358</v>
      </c>
      <c r="V49" s="1">
        <v>13817042092</v>
      </c>
      <c r="W49" s="24" t="s">
        <v>418</v>
      </c>
      <c r="X49" s="1" t="s">
        <v>460</v>
      </c>
      <c r="Y49" s="3" t="s">
        <v>467</v>
      </c>
      <c r="Z49" s="6"/>
      <c r="AA49" s="6"/>
      <c r="AB49" s="1" t="s">
        <v>479</v>
      </c>
      <c r="AC49" s="29">
        <v>40817</v>
      </c>
      <c r="AD49" s="24" t="s">
        <v>529</v>
      </c>
      <c r="AE49" s="24" t="s">
        <v>584</v>
      </c>
      <c r="AF49" s="1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5">
      <c r="A50" s="7" t="s">
        <v>92</v>
      </c>
      <c r="B50" s="6" t="s">
        <v>109</v>
      </c>
      <c r="C50" s="8" t="s">
        <v>110</v>
      </c>
      <c r="D50" s="9" t="s">
        <v>111</v>
      </c>
      <c r="E50" s="6">
        <v>42</v>
      </c>
      <c r="F50" s="6"/>
      <c r="G50" s="1" t="s">
        <v>112</v>
      </c>
      <c r="H50" s="1" t="s">
        <v>161</v>
      </c>
      <c r="I50" s="6"/>
      <c r="J50" s="6"/>
      <c r="K50" s="10">
        <v>43315</v>
      </c>
      <c r="L50" s="1">
        <v>3</v>
      </c>
      <c r="M50" s="1">
        <f t="shared" si="2"/>
        <v>43406</v>
      </c>
      <c r="N50" s="6"/>
      <c r="O50" s="6">
        <v>7.4</v>
      </c>
      <c r="P50" s="3" t="s">
        <v>179</v>
      </c>
      <c r="Q50" s="1" t="s">
        <v>192</v>
      </c>
      <c r="R50" s="3" t="s">
        <v>196</v>
      </c>
      <c r="S50" s="1" t="s">
        <v>258</v>
      </c>
      <c r="T50" s="3" t="s">
        <v>304</v>
      </c>
      <c r="U50" s="1" t="s">
        <v>359</v>
      </c>
      <c r="V50" s="1">
        <v>18600964675</v>
      </c>
      <c r="W50" s="1" t="s">
        <v>419</v>
      </c>
      <c r="X50" s="1" t="s">
        <v>461</v>
      </c>
      <c r="Y50" s="3" t="s">
        <v>467</v>
      </c>
      <c r="Z50" s="6"/>
      <c r="AA50" s="6"/>
      <c r="AB50" s="1" t="s">
        <v>476</v>
      </c>
      <c r="AC50" s="27">
        <v>38534</v>
      </c>
      <c r="AD50" s="14" t="s">
        <v>530</v>
      </c>
      <c r="AE50" s="14" t="s">
        <v>585</v>
      </c>
      <c r="AF50" s="1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5">
      <c r="A51" s="15" t="s">
        <v>93</v>
      </c>
      <c r="B51" s="6" t="s">
        <v>108</v>
      </c>
      <c r="C51" s="8" t="s">
        <v>110</v>
      </c>
      <c r="D51" s="9" t="s">
        <v>111</v>
      </c>
      <c r="E51" s="6">
        <v>35</v>
      </c>
      <c r="F51" s="6"/>
      <c r="G51" s="1" t="s">
        <v>112</v>
      </c>
      <c r="H51" s="1" t="s">
        <v>162</v>
      </c>
      <c r="I51" s="6"/>
      <c r="J51" s="6"/>
      <c r="K51" s="16">
        <v>45383</v>
      </c>
      <c r="L51" s="1">
        <v>6</v>
      </c>
      <c r="M51" s="1">
        <f t="shared" si="2"/>
        <v>45565</v>
      </c>
      <c r="N51" s="6"/>
      <c r="O51" s="6">
        <v>1.8</v>
      </c>
      <c r="P51" s="3" t="s">
        <v>178</v>
      </c>
      <c r="Q51" s="1" t="s">
        <v>192</v>
      </c>
      <c r="R51" s="3" t="s">
        <v>198</v>
      </c>
      <c r="S51" s="3" t="s">
        <v>259</v>
      </c>
      <c r="T51" s="3" t="s">
        <v>305</v>
      </c>
      <c r="U51" s="12"/>
      <c r="V51" s="1">
        <v>15210333483</v>
      </c>
      <c r="W51" s="1" t="s">
        <v>420</v>
      </c>
      <c r="X51" s="1">
        <v>15901172251</v>
      </c>
      <c r="Y51" s="3" t="s">
        <v>469</v>
      </c>
      <c r="Z51" s="6"/>
      <c r="AA51" s="6"/>
      <c r="AB51" s="1" t="s">
        <v>481</v>
      </c>
      <c r="AC51" s="1">
        <v>41090</v>
      </c>
      <c r="AD51" s="1" t="s">
        <v>531</v>
      </c>
      <c r="AE51" s="1" t="s">
        <v>586</v>
      </c>
      <c r="AF51" s="3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5">
      <c r="A52" s="7" t="s">
        <v>94</v>
      </c>
      <c r="B52" s="6" t="s">
        <v>109</v>
      </c>
      <c r="C52" s="8" t="s">
        <v>110</v>
      </c>
      <c r="D52" s="9" t="s">
        <v>111</v>
      </c>
      <c r="E52" s="6">
        <v>29</v>
      </c>
      <c r="F52" s="6"/>
      <c r="G52" s="1" t="s">
        <v>112</v>
      </c>
      <c r="H52" s="1" t="s">
        <v>163</v>
      </c>
      <c r="I52" s="6"/>
      <c r="J52" s="6"/>
      <c r="K52" s="16">
        <v>45712</v>
      </c>
      <c r="L52" s="1">
        <v>6</v>
      </c>
      <c r="M52" s="1">
        <f t="shared" si="2"/>
        <v>45892</v>
      </c>
      <c r="N52" s="6"/>
      <c r="O52" s="6">
        <v>0.9</v>
      </c>
      <c r="P52" s="3" t="s">
        <v>178</v>
      </c>
      <c r="Q52" s="1" t="s">
        <v>194</v>
      </c>
      <c r="R52" s="3" t="s">
        <v>201</v>
      </c>
      <c r="S52" s="3" t="s">
        <v>260</v>
      </c>
      <c r="T52" s="3" t="s">
        <v>306</v>
      </c>
      <c r="U52" s="12"/>
      <c r="V52" s="1">
        <v>17710216391</v>
      </c>
      <c r="W52" s="1" t="s">
        <v>421</v>
      </c>
      <c r="X52" s="1">
        <v>15832369561</v>
      </c>
      <c r="Y52" s="3" t="s">
        <v>468</v>
      </c>
      <c r="Z52" s="6"/>
      <c r="AA52" s="6"/>
      <c r="AB52" s="1" t="s">
        <v>476</v>
      </c>
      <c r="AC52" s="1">
        <v>43282</v>
      </c>
      <c r="AD52" s="3" t="s">
        <v>532</v>
      </c>
      <c r="AE52" s="3" t="s">
        <v>587</v>
      </c>
      <c r="AF52" s="3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5">
      <c r="A53" s="7" t="s">
        <v>95</v>
      </c>
      <c r="B53" s="6" t="s">
        <v>109</v>
      </c>
      <c r="C53" s="8" t="s">
        <v>110</v>
      </c>
      <c r="D53" s="9" t="s">
        <v>111</v>
      </c>
      <c r="E53" s="6">
        <v>38</v>
      </c>
      <c r="F53" s="6"/>
      <c r="G53" s="1" t="s">
        <v>112</v>
      </c>
      <c r="H53" s="1" t="s">
        <v>164</v>
      </c>
      <c r="I53" s="6"/>
      <c r="J53" s="6"/>
      <c r="K53" s="16">
        <v>45162</v>
      </c>
      <c r="L53" s="1">
        <v>6</v>
      </c>
      <c r="M53" s="1">
        <f t="shared" si="2"/>
        <v>45345</v>
      </c>
      <c r="N53" s="6"/>
      <c r="O53" s="6">
        <v>2.2999999999999998</v>
      </c>
      <c r="P53" s="3" t="s">
        <v>180</v>
      </c>
      <c r="Q53" s="1" t="s">
        <v>192</v>
      </c>
      <c r="R53" s="3" t="s">
        <v>198</v>
      </c>
      <c r="S53" s="1" t="s">
        <v>261</v>
      </c>
      <c r="T53" s="3" t="s">
        <v>307</v>
      </c>
      <c r="U53" s="30" t="s">
        <v>360</v>
      </c>
      <c r="V53" s="1">
        <v>18830185862</v>
      </c>
      <c r="W53" s="1" t="s">
        <v>422</v>
      </c>
      <c r="X53" s="1">
        <v>18931160068</v>
      </c>
      <c r="Y53" s="3" t="s">
        <v>469</v>
      </c>
      <c r="Z53" s="6"/>
      <c r="AA53" s="6"/>
      <c r="AB53" s="1" t="s">
        <v>476</v>
      </c>
      <c r="AC53" s="1">
        <v>39629</v>
      </c>
      <c r="AD53" s="1" t="s">
        <v>533</v>
      </c>
      <c r="AE53" s="1" t="s">
        <v>581</v>
      </c>
      <c r="AF53" s="1" t="s">
        <v>598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ht="26.4" x14ac:dyDescent="0.25">
      <c r="A54" s="15" t="s">
        <v>96</v>
      </c>
      <c r="B54" s="6" t="s">
        <v>109</v>
      </c>
      <c r="C54" s="8" t="s">
        <v>110</v>
      </c>
      <c r="D54" s="9" t="s">
        <v>111</v>
      </c>
      <c r="E54" s="6">
        <v>24</v>
      </c>
      <c r="F54" s="6"/>
      <c r="G54" s="1" t="s">
        <v>112</v>
      </c>
      <c r="H54" s="1" t="s">
        <v>165</v>
      </c>
      <c r="I54" s="6"/>
      <c r="J54" s="6"/>
      <c r="K54" s="16">
        <v>45389</v>
      </c>
      <c r="L54" s="1">
        <v>6</v>
      </c>
      <c r="M54" s="1">
        <f t="shared" si="2"/>
        <v>45571</v>
      </c>
      <c r="N54" s="6"/>
      <c r="O54" s="6">
        <v>1.8</v>
      </c>
      <c r="P54" s="3" t="s">
        <v>180</v>
      </c>
      <c r="Q54" s="1" t="s">
        <v>192</v>
      </c>
      <c r="R54" s="3" t="s">
        <v>208</v>
      </c>
      <c r="S54" s="3" t="s">
        <v>262</v>
      </c>
      <c r="T54" s="3" t="s">
        <v>308</v>
      </c>
      <c r="U54" s="12" t="s">
        <v>361</v>
      </c>
      <c r="V54" s="1">
        <v>18631160194</v>
      </c>
      <c r="W54" s="1" t="s">
        <v>423</v>
      </c>
      <c r="X54" s="1" t="s">
        <v>462</v>
      </c>
      <c r="Y54" s="3" t="s">
        <v>468</v>
      </c>
      <c r="Z54" s="6"/>
      <c r="AA54" s="6"/>
      <c r="AB54" s="1" t="s">
        <v>476</v>
      </c>
      <c r="AC54" s="1">
        <v>45480</v>
      </c>
      <c r="AD54" s="1" t="s">
        <v>534</v>
      </c>
      <c r="AE54" s="1" t="s">
        <v>588</v>
      </c>
      <c r="AF54" s="3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5">
      <c r="A55" s="19" t="s">
        <v>97</v>
      </c>
      <c r="B55" s="6" t="s">
        <v>108</v>
      </c>
      <c r="C55" s="8" t="s">
        <v>110</v>
      </c>
      <c r="D55" s="9" t="s">
        <v>111</v>
      </c>
      <c r="E55" s="6">
        <v>38</v>
      </c>
      <c r="F55" s="6"/>
      <c r="G55" s="1" t="s">
        <v>112</v>
      </c>
      <c r="H55" s="2" t="s">
        <v>166</v>
      </c>
      <c r="I55" s="6"/>
      <c r="J55" s="6"/>
      <c r="K55" s="20">
        <v>44897</v>
      </c>
      <c r="L55" s="2">
        <v>6</v>
      </c>
      <c r="M55" s="1">
        <f t="shared" si="2"/>
        <v>45078</v>
      </c>
      <c r="N55" s="6"/>
      <c r="O55" s="6">
        <v>3</v>
      </c>
      <c r="P55" s="3" t="s">
        <v>178</v>
      </c>
      <c r="Q55" s="2" t="s">
        <v>194</v>
      </c>
      <c r="R55" s="21" t="s">
        <v>205</v>
      </c>
      <c r="S55" s="2" t="s">
        <v>263</v>
      </c>
      <c r="T55" s="2" t="s">
        <v>263</v>
      </c>
      <c r="U55" s="22" t="s">
        <v>362</v>
      </c>
      <c r="V55" s="1">
        <v>13031015775</v>
      </c>
      <c r="W55" s="2" t="s">
        <v>424</v>
      </c>
      <c r="X55" s="1">
        <v>13552015589</v>
      </c>
      <c r="Y55" s="1" t="s">
        <v>471</v>
      </c>
      <c r="Z55" s="6"/>
      <c r="AA55" s="6"/>
      <c r="AB55" s="2" t="s">
        <v>479</v>
      </c>
      <c r="AC55" s="2">
        <v>40725</v>
      </c>
      <c r="AD55" s="2" t="s">
        <v>509</v>
      </c>
      <c r="AE55" s="2" t="s">
        <v>584</v>
      </c>
      <c r="AF55" s="28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5">
      <c r="A56" s="15" t="s">
        <v>98</v>
      </c>
      <c r="B56" s="6" t="s">
        <v>108</v>
      </c>
      <c r="C56" s="8" t="s">
        <v>110</v>
      </c>
      <c r="D56" s="9" t="s">
        <v>111</v>
      </c>
      <c r="E56" s="6">
        <v>29</v>
      </c>
      <c r="F56" s="6"/>
      <c r="G56" s="1" t="s">
        <v>112</v>
      </c>
      <c r="H56" s="1" t="s">
        <v>167</v>
      </c>
      <c r="I56" s="6"/>
      <c r="J56" s="6"/>
      <c r="K56" s="16">
        <v>45363</v>
      </c>
      <c r="L56" s="1">
        <v>6</v>
      </c>
      <c r="M56" s="1">
        <f t="shared" si="2"/>
        <v>45546</v>
      </c>
      <c r="N56" s="6"/>
      <c r="O56" s="6">
        <v>1.9</v>
      </c>
      <c r="P56" s="3" t="s">
        <v>178</v>
      </c>
      <c r="Q56" s="1" t="s">
        <v>192</v>
      </c>
      <c r="R56" s="3" t="s">
        <v>198</v>
      </c>
      <c r="S56" s="3" t="s">
        <v>264</v>
      </c>
      <c r="T56" s="3" t="s">
        <v>309</v>
      </c>
      <c r="U56" s="12" t="s">
        <v>363</v>
      </c>
      <c r="V56" s="1">
        <v>13401090309</v>
      </c>
      <c r="W56" s="1" t="s">
        <v>425</v>
      </c>
      <c r="X56" s="1">
        <v>13910781622</v>
      </c>
      <c r="Y56" s="3" t="s">
        <v>469</v>
      </c>
      <c r="Z56" s="6"/>
      <c r="AA56" s="6"/>
      <c r="AB56" s="1" t="s">
        <v>475</v>
      </c>
      <c r="AC56" s="1">
        <v>44742</v>
      </c>
      <c r="AD56" s="1" t="s">
        <v>535</v>
      </c>
      <c r="AE56" s="1" t="s">
        <v>565</v>
      </c>
      <c r="AF56" s="3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5">
      <c r="A57" s="7" t="s">
        <v>99</v>
      </c>
      <c r="B57" s="6" t="s">
        <v>108</v>
      </c>
      <c r="C57" s="8" t="s">
        <v>110</v>
      </c>
      <c r="D57" s="9" t="s">
        <v>111</v>
      </c>
      <c r="E57" s="6">
        <v>41</v>
      </c>
      <c r="F57" s="6"/>
      <c r="G57" s="1" t="s">
        <v>112</v>
      </c>
      <c r="H57" s="1" t="s">
        <v>168</v>
      </c>
      <c r="I57" s="6"/>
      <c r="J57" s="6"/>
      <c r="K57" s="16">
        <v>45712</v>
      </c>
      <c r="L57" s="1">
        <v>6</v>
      </c>
      <c r="M57" s="1">
        <f t="shared" si="2"/>
        <v>45892</v>
      </c>
      <c r="N57" s="6"/>
      <c r="O57" s="6">
        <v>0.9</v>
      </c>
      <c r="P57" s="3" t="s">
        <v>178</v>
      </c>
      <c r="Q57" s="1" t="s">
        <v>194</v>
      </c>
      <c r="R57" s="3" t="s">
        <v>201</v>
      </c>
      <c r="S57" s="3" t="s">
        <v>265</v>
      </c>
      <c r="T57" s="3" t="s">
        <v>310</v>
      </c>
      <c r="U57" s="12"/>
      <c r="V57" s="1">
        <v>13661007477</v>
      </c>
      <c r="W57" s="1" t="s">
        <v>426</v>
      </c>
      <c r="X57" s="1">
        <v>13932918823</v>
      </c>
      <c r="Y57" s="3" t="s">
        <v>468</v>
      </c>
      <c r="Z57" s="6"/>
      <c r="AA57" s="6"/>
      <c r="AB57" s="1" t="s">
        <v>476</v>
      </c>
      <c r="AC57" s="1">
        <v>37437</v>
      </c>
      <c r="AD57" s="3" t="s">
        <v>536</v>
      </c>
      <c r="AE57" s="3" t="s">
        <v>589</v>
      </c>
      <c r="AF57" s="3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5">
      <c r="A58" s="7" t="s">
        <v>100</v>
      </c>
      <c r="B58" s="6" t="s">
        <v>109</v>
      </c>
      <c r="C58" s="8" t="s">
        <v>110</v>
      </c>
      <c r="D58" s="9" t="s">
        <v>111</v>
      </c>
      <c r="E58" s="6">
        <v>33</v>
      </c>
      <c r="F58" s="6"/>
      <c r="G58" s="1" t="s">
        <v>112</v>
      </c>
      <c r="H58" s="1" t="s">
        <v>169</v>
      </c>
      <c r="I58" s="6"/>
      <c r="J58" s="6"/>
      <c r="K58" s="16">
        <v>45642</v>
      </c>
      <c r="L58" s="1">
        <v>0</v>
      </c>
      <c r="M58" s="11">
        <f>IF(K58="","",DATE(YEAR(K58),MONTH(K58)+L58,DAY(K58)))</f>
        <v>45642</v>
      </c>
      <c r="N58" s="6"/>
      <c r="O58" s="6">
        <v>1</v>
      </c>
      <c r="P58" s="3" t="s">
        <v>178</v>
      </c>
      <c r="Q58" s="1" t="s">
        <v>194</v>
      </c>
      <c r="R58" s="3" t="s">
        <v>201</v>
      </c>
      <c r="S58" s="3" t="s">
        <v>266</v>
      </c>
      <c r="T58" s="3" t="s">
        <v>311</v>
      </c>
      <c r="U58" s="12" t="s">
        <v>364</v>
      </c>
      <c r="V58" s="1">
        <v>18500076492</v>
      </c>
      <c r="W58" s="1" t="s">
        <v>427</v>
      </c>
      <c r="X58" s="1" t="s">
        <v>463</v>
      </c>
      <c r="Y58" s="3" t="s">
        <v>468</v>
      </c>
      <c r="Z58" s="6"/>
      <c r="AA58" s="6"/>
      <c r="AB58" s="1" t="s">
        <v>476</v>
      </c>
      <c r="AC58" s="1">
        <v>44013</v>
      </c>
      <c r="AD58" s="3" t="s">
        <v>537</v>
      </c>
      <c r="AE58" s="3" t="s">
        <v>561</v>
      </c>
      <c r="AF58" s="3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5">
      <c r="A59" s="7" t="s">
        <v>101</v>
      </c>
      <c r="B59" s="6" t="s">
        <v>109</v>
      </c>
      <c r="C59" s="8" t="s">
        <v>110</v>
      </c>
      <c r="D59" s="9" t="s">
        <v>111</v>
      </c>
      <c r="E59" s="6">
        <v>25</v>
      </c>
      <c r="F59" s="6"/>
      <c r="G59" s="1" t="s">
        <v>112</v>
      </c>
      <c r="H59" s="1" t="s">
        <v>170</v>
      </c>
      <c r="I59" s="6"/>
      <c r="J59" s="6"/>
      <c r="K59" s="10">
        <v>45754</v>
      </c>
      <c r="L59" s="1">
        <v>3</v>
      </c>
      <c r="M59" s="1">
        <f t="shared" ref="M59:M65" si="3">IF(K59="","",DATE(YEAR(K59),MONTH(K59)+L59,DAY(K59)-1))</f>
        <v>45844</v>
      </c>
      <c r="N59" s="6"/>
      <c r="O59" s="6">
        <v>0.8</v>
      </c>
      <c r="P59" s="3" t="s">
        <v>178</v>
      </c>
      <c r="Q59" s="1" t="s">
        <v>194</v>
      </c>
      <c r="R59" s="3" t="s">
        <v>202</v>
      </c>
      <c r="S59" s="1" t="s">
        <v>267</v>
      </c>
      <c r="T59" s="3" t="s">
        <v>312</v>
      </c>
      <c r="U59" s="12" t="s">
        <v>365</v>
      </c>
      <c r="V59" s="1">
        <v>17671861677</v>
      </c>
      <c r="W59" s="1" t="s">
        <v>428</v>
      </c>
      <c r="X59" s="1">
        <v>18621681586</v>
      </c>
      <c r="Y59" s="1" t="s">
        <v>468</v>
      </c>
      <c r="Z59" s="6"/>
      <c r="AA59" s="6"/>
      <c r="AB59" s="1" t="s">
        <v>477</v>
      </c>
      <c r="AC59" s="13">
        <v>44377</v>
      </c>
      <c r="AD59" s="14" t="s">
        <v>538</v>
      </c>
      <c r="AE59" s="14" t="s">
        <v>556</v>
      </c>
      <c r="AF59" s="1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5">
      <c r="A60" s="7" t="s">
        <v>102</v>
      </c>
      <c r="B60" s="6" t="s">
        <v>108</v>
      </c>
      <c r="C60" s="8" t="s">
        <v>110</v>
      </c>
      <c r="D60" s="9" t="s">
        <v>111</v>
      </c>
      <c r="E60" s="6">
        <v>39</v>
      </c>
      <c r="F60" s="6"/>
      <c r="G60" s="1" t="s">
        <v>112</v>
      </c>
      <c r="H60" s="1" t="s">
        <v>171</v>
      </c>
      <c r="I60" s="6"/>
      <c r="J60" s="6"/>
      <c r="K60" s="10">
        <v>43922</v>
      </c>
      <c r="L60" s="1">
        <v>6</v>
      </c>
      <c r="M60" s="1">
        <f t="shared" si="3"/>
        <v>44104</v>
      </c>
      <c r="N60" s="6"/>
      <c r="O60" s="6">
        <v>5.8</v>
      </c>
      <c r="P60" s="3" t="s">
        <v>180</v>
      </c>
      <c r="Q60" s="1" t="s">
        <v>191</v>
      </c>
      <c r="R60" s="3" t="s">
        <v>196</v>
      </c>
      <c r="S60" s="1" t="s">
        <v>268</v>
      </c>
      <c r="T60" s="1" t="s">
        <v>313</v>
      </c>
      <c r="U60" s="17" t="s">
        <v>366</v>
      </c>
      <c r="V60" s="1">
        <v>18633095678</v>
      </c>
      <c r="W60" s="24" t="s">
        <v>429</v>
      </c>
      <c r="X60" s="1" t="s">
        <v>464</v>
      </c>
      <c r="Y60" s="3" t="s">
        <v>472</v>
      </c>
      <c r="Z60" s="6"/>
      <c r="AA60" s="6"/>
      <c r="AB60" s="1" t="s">
        <v>476</v>
      </c>
      <c r="AC60" s="13">
        <v>39639</v>
      </c>
      <c r="AD60" s="24" t="s">
        <v>539</v>
      </c>
      <c r="AE60" s="24" t="s">
        <v>590</v>
      </c>
      <c r="AF60" s="1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5">
      <c r="A61" s="15" t="s">
        <v>103</v>
      </c>
      <c r="B61" s="6" t="s">
        <v>108</v>
      </c>
      <c r="C61" s="8" t="s">
        <v>110</v>
      </c>
      <c r="D61" s="9" t="s">
        <v>111</v>
      </c>
      <c r="E61" s="6">
        <v>23</v>
      </c>
      <c r="F61" s="6"/>
      <c r="G61" s="1" t="s">
        <v>112</v>
      </c>
      <c r="H61" s="1" t="s">
        <v>172</v>
      </c>
      <c r="I61" s="6"/>
      <c r="J61" s="6"/>
      <c r="K61" s="16">
        <v>45383</v>
      </c>
      <c r="L61" s="1">
        <v>6</v>
      </c>
      <c r="M61" s="1">
        <f t="shared" si="3"/>
        <v>45565</v>
      </c>
      <c r="N61" s="6"/>
      <c r="O61" s="6">
        <v>1.8</v>
      </c>
      <c r="P61" s="3" t="s">
        <v>180</v>
      </c>
      <c r="Q61" s="1" t="s">
        <v>192</v>
      </c>
      <c r="R61" s="3" t="s">
        <v>209</v>
      </c>
      <c r="S61" s="3" t="s">
        <v>269</v>
      </c>
      <c r="T61" s="3" t="s">
        <v>314</v>
      </c>
      <c r="U61" s="12" t="s">
        <v>367</v>
      </c>
      <c r="V61" s="1">
        <v>17274817759</v>
      </c>
      <c r="W61" s="1" t="s">
        <v>430</v>
      </c>
      <c r="X61" s="1">
        <v>13363061951</v>
      </c>
      <c r="Y61" s="3" t="s">
        <v>468</v>
      </c>
      <c r="Z61" s="6"/>
      <c r="AA61" s="6"/>
      <c r="AB61" s="1" t="s">
        <v>476</v>
      </c>
      <c r="AC61" s="1">
        <v>43646</v>
      </c>
      <c r="AD61" s="1" t="s">
        <v>540</v>
      </c>
      <c r="AE61" s="1" t="s">
        <v>591</v>
      </c>
      <c r="AF61" s="3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5">
      <c r="A62" s="7" t="s">
        <v>104</v>
      </c>
      <c r="B62" s="6" t="s">
        <v>108</v>
      </c>
      <c r="C62" s="8" t="s">
        <v>110</v>
      </c>
      <c r="D62" s="9" t="s">
        <v>111</v>
      </c>
      <c r="E62" s="6">
        <v>27</v>
      </c>
      <c r="F62" s="6"/>
      <c r="G62" s="1" t="s">
        <v>112</v>
      </c>
      <c r="H62" s="1" t="s">
        <v>173</v>
      </c>
      <c r="I62" s="6"/>
      <c r="J62" s="6"/>
      <c r="K62" s="16">
        <v>45712</v>
      </c>
      <c r="L62" s="1">
        <v>6</v>
      </c>
      <c r="M62" s="1">
        <f t="shared" si="3"/>
        <v>45892</v>
      </c>
      <c r="N62" s="6"/>
      <c r="O62" s="6">
        <v>0.9</v>
      </c>
      <c r="P62" s="3" t="s">
        <v>180</v>
      </c>
      <c r="Q62" s="1" t="s">
        <v>194</v>
      </c>
      <c r="R62" s="3" t="s">
        <v>201</v>
      </c>
      <c r="S62" s="3" t="s">
        <v>270</v>
      </c>
      <c r="T62" s="3" t="s">
        <v>315</v>
      </c>
      <c r="U62" s="12"/>
      <c r="V62" s="1">
        <v>13840472451</v>
      </c>
      <c r="W62" s="1" t="s">
        <v>431</v>
      </c>
      <c r="X62" s="1">
        <v>15124010708</v>
      </c>
      <c r="Y62" s="3" t="s">
        <v>468</v>
      </c>
      <c r="Z62" s="6"/>
      <c r="AA62" s="6"/>
      <c r="AB62" s="1" t="s">
        <v>476</v>
      </c>
      <c r="AC62" s="1">
        <v>43647</v>
      </c>
      <c r="AD62" s="3" t="s">
        <v>541</v>
      </c>
      <c r="AE62" s="3" t="s">
        <v>592</v>
      </c>
      <c r="AF62" s="3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5">
      <c r="A63" s="7" t="s">
        <v>105</v>
      </c>
      <c r="B63" s="6" t="s">
        <v>108</v>
      </c>
      <c r="C63" s="8" t="s">
        <v>110</v>
      </c>
      <c r="D63" s="9" t="s">
        <v>111</v>
      </c>
      <c r="E63" s="6">
        <v>31</v>
      </c>
      <c r="F63" s="6"/>
      <c r="G63" s="1" t="s">
        <v>112</v>
      </c>
      <c r="H63" s="1" t="s">
        <v>174</v>
      </c>
      <c r="I63" s="6"/>
      <c r="J63" s="6"/>
      <c r="K63" s="10">
        <v>44005</v>
      </c>
      <c r="L63" s="1">
        <v>6</v>
      </c>
      <c r="M63" s="1">
        <f t="shared" si="3"/>
        <v>44187</v>
      </c>
      <c r="N63" s="6"/>
      <c r="O63" s="6">
        <v>5.5</v>
      </c>
      <c r="P63" s="3" t="s">
        <v>190</v>
      </c>
      <c r="Q63" s="1" t="s">
        <v>191</v>
      </c>
      <c r="R63" s="3" t="s">
        <v>207</v>
      </c>
      <c r="S63" s="1" t="s">
        <v>271</v>
      </c>
      <c r="T63" s="3" t="s">
        <v>271</v>
      </c>
      <c r="U63" s="1" t="s">
        <v>368</v>
      </c>
      <c r="V63" s="1">
        <v>18721989531</v>
      </c>
      <c r="W63" s="1" t="s">
        <v>432</v>
      </c>
      <c r="X63" s="1" t="s">
        <v>465</v>
      </c>
      <c r="Y63" s="3" t="s">
        <v>467</v>
      </c>
      <c r="Z63" s="6"/>
      <c r="AA63" s="6"/>
      <c r="AB63" s="1" t="s">
        <v>476</v>
      </c>
      <c r="AC63" s="13">
        <v>42917</v>
      </c>
      <c r="AD63" s="14" t="s">
        <v>542</v>
      </c>
      <c r="AE63" s="14" t="s">
        <v>593</v>
      </c>
      <c r="AF63" s="1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5">
      <c r="A64" s="7" t="s">
        <v>106</v>
      </c>
      <c r="B64" s="6" t="s">
        <v>108</v>
      </c>
      <c r="C64" s="8" t="s">
        <v>110</v>
      </c>
      <c r="D64" s="9" t="s">
        <v>111</v>
      </c>
      <c r="E64" s="6">
        <v>37</v>
      </c>
      <c r="F64" s="6"/>
      <c r="G64" s="1" t="s">
        <v>112</v>
      </c>
      <c r="H64" s="1" t="s">
        <v>175</v>
      </c>
      <c r="I64" s="6"/>
      <c r="J64" s="6"/>
      <c r="K64" s="10">
        <v>43829</v>
      </c>
      <c r="L64" s="1">
        <v>6</v>
      </c>
      <c r="M64" s="1">
        <f t="shared" si="3"/>
        <v>44011</v>
      </c>
      <c r="N64" s="6"/>
      <c r="O64" s="6">
        <v>5.1100000000000003</v>
      </c>
      <c r="P64" s="3" t="s">
        <v>189</v>
      </c>
      <c r="Q64" s="1" t="s">
        <v>192</v>
      </c>
      <c r="R64" s="3" t="s">
        <v>205</v>
      </c>
      <c r="S64" s="1" t="s">
        <v>272</v>
      </c>
      <c r="T64" s="1" t="s">
        <v>272</v>
      </c>
      <c r="U64" s="12" t="s">
        <v>369</v>
      </c>
      <c r="V64" s="1">
        <v>13774233800</v>
      </c>
      <c r="W64" s="24" t="s">
        <v>433</v>
      </c>
      <c r="X64" s="1" t="s">
        <v>466</v>
      </c>
      <c r="Y64" s="3" t="s">
        <v>472</v>
      </c>
      <c r="Z64" s="6"/>
      <c r="AA64" s="6"/>
      <c r="AB64" s="1" t="s">
        <v>476</v>
      </c>
      <c r="AC64" s="29">
        <v>42917</v>
      </c>
      <c r="AD64" s="24" t="s">
        <v>543</v>
      </c>
      <c r="AE64" s="24" t="s">
        <v>584</v>
      </c>
      <c r="AF64" s="1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ht="13.8" thickBot="1" x14ac:dyDescent="0.3">
      <c r="A65" s="31" t="s">
        <v>107</v>
      </c>
      <c r="B65" s="6" t="s">
        <v>108</v>
      </c>
      <c r="C65" s="8" t="s">
        <v>110</v>
      </c>
      <c r="D65" s="9" t="s">
        <v>111</v>
      </c>
      <c r="E65" s="6">
        <v>33</v>
      </c>
      <c r="F65" s="6"/>
      <c r="G65" s="1" t="s">
        <v>112</v>
      </c>
      <c r="H65" s="4" t="s">
        <v>176</v>
      </c>
      <c r="I65" s="6"/>
      <c r="J65" s="6"/>
      <c r="K65" s="32">
        <v>45824</v>
      </c>
      <c r="L65" s="4">
        <v>6</v>
      </c>
      <c r="M65" s="4">
        <f t="shared" si="3"/>
        <v>46006</v>
      </c>
      <c r="N65" s="6"/>
      <c r="O65" s="6">
        <v>0.6</v>
      </c>
      <c r="P65" s="33" t="s">
        <v>185</v>
      </c>
      <c r="Q65" s="4" t="s">
        <v>191</v>
      </c>
      <c r="R65" s="33" t="s">
        <v>205</v>
      </c>
      <c r="S65" s="4" t="s">
        <v>273</v>
      </c>
      <c r="T65" s="4" t="s">
        <v>273</v>
      </c>
      <c r="U65" s="34" t="s">
        <v>370</v>
      </c>
      <c r="V65" s="1">
        <v>13761996360</v>
      </c>
      <c r="W65" s="4" t="s">
        <v>434</v>
      </c>
      <c r="X65" s="1">
        <v>13788925011</v>
      </c>
      <c r="Y65" s="4" t="s">
        <v>473</v>
      </c>
      <c r="Z65" s="6"/>
      <c r="AA65" s="6"/>
      <c r="AB65" s="4" t="s">
        <v>477</v>
      </c>
      <c r="AC65" s="35">
        <v>41820</v>
      </c>
      <c r="AD65" s="36" t="s">
        <v>544</v>
      </c>
      <c r="AE65" s="36" t="s">
        <v>594</v>
      </c>
      <c r="AF65" s="4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</sheetData>
  <phoneticPr fontId="1" type="noConversion"/>
  <dataValidations count="1">
    <dataValidation allowBlank="1" showInputMessage="1" showErrorMessage="1" sqref="K2:K3 K33 K26 K43 K41 K50 K22 K12 K19:K20 K30 K10 K5:K7 AC2:AE3 AC33:AE33 AC26:AE26 AC43:AE43 AC41:AE41 AC35:AE39 AC28:AE28 AC50:AE50 AC22:AE22 AC12:AE12 AC16:AE16 AC19:AE20 AC30:AE30 AC10:AE10 AC6:AE8"/>
  </dataValidations>
  <hyperlinks>
    <hyperlink ref="U8" r:id="rId1"/>
    <hyperlink ref="U9" r:id="rId2"/>
    <hyperlink ref="U49" r:id="rId3"/>
    <hyperlink ref="U64" r:id="rId4"/>
    <hyperlink ref="U63" r:id="rId5"/>
    <hyperlink ref="U29" r:id="rId6"/>
    <hyperlink ref="U32" r:id="rId7"/>
    <hyperlink ref="U23" r:id="rId8"/>
    <hyperlink ref="U24" r:id="rId9"/>
    <hyperlink ref="U14" r:id="rId10"/>
    <hyperlink ref="U55" r:id="rId11"/>
    <hyperlink ref="U11" r:id="rId12"/>
    <hyperlink ref="U56" r:id="rId13"/>
    <hyperlink ref="U61" r:id="rId14"/>
    <hyperlink ref="U31" r:id="rId15"/>
    <hyperlink ref="U18" r:id="rId16"/>
    <hyperlink ref="U40" r:id="rId17"/>
    <hyperlink ref="U25" r:id="rId18"/>
    <hyperlink ref="U15" r:id="rId19"/>
    <hyperlink ref="U58" r:id="rId20"/>
    <hyperlink ref="U59" r:id="rId21"/>
    <hyperlink ref="U13" r:id="rId22"/>
    <hyperlink ref="U65" r:id="rId23"/>
    <hyperlink ref="U34" r:id="rId24"/>
    <hyperlink ref="U2" r:id="rId25"/>
  </hyperlink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员工信息表</vt:lpstr>
    </vt:vector>
  </TitlesOfParts>
  <Manager>javaboy</Manager>
  <Company>www.javaboy.org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员工信息表</dc:title>
  <dc:creator>javaboy</dc:creator>
  <dc:description>本文档由 javaboy 提供</dc:description>
  <cp:lastModifiedBy>腾 冯</cp:lastModifiedBy>
  <dcterms:created xsi:type="dcterms:W3CDTF">2025-12-19T06:02:31Z</dcterms:created>
  <dcterms:modified xsi:type="dcterms:W3CDTF">2025-12-19T06:02:36Z</dcterms:modified>
  <cp:category>员工信息</cp:category>
</cp:coreProperties>
</file>